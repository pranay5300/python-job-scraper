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Data" sheetId="1" state="visible" r:id="rId1"/>
  </sheets>
  <definedNames>
    <definedName name="_xlnm._FilterDatabase" localSheetId="0" hidden="1">'Job Data'!$A$1:$F$31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H1b Approval 2024</t>
        </is>
      </c>
      <c r="E1" t="inlineStr">
        <is>
          <t>H1b Sponsor</t>
        </is>
      </c>
      <c r="F1" t="inlineStr">
        <is>
          <t>Score</t>
        </is>
      </c>
    </row>
    <row r="2">
      <c r="A2">
        <f>HYPERLINK("https://www.linkedin.com/jobs/view/software-engineer-junior-level-remote-at-synergisticit-4045412560?position=10&amp;pageNum=0&amp;refId=TfIvD0VhcoCCnL7Sb1q69w%3D%3D&amp;trackingId=w73MI640I8kiKk7i3Mb2cw%3D%3D", "Software Engineer - Junior Level(Remote)")</f>
        <v/>
      </c>
      <c r="B2" t="inlineStr">
        <is>
          <t>SynergisticIT</t>
        </is>
      </c>
      <c r="C2" t="inlineStr">
        <is>
          <t>Dallas, TX</t>
        </is>
      </c>
      <c r="D2" t="inlineStr">
        <is>
          <t xml:space="preserve"> 1 </t>
        </is>
      </c>
      <c r="E2" t="inlineStr">
        <is>
          <t>yes</t>
        </is>
      </c>
      <c r="F2" t="n">
        <v>0.335</v>
      </c>
    </row>
    <row r="3">
      <c r="A3">
        <f>HYPERLINK("https://www.linkedin.com/jobs/view/remote-software-engineer-junior-entry-at-synergisticit-4045410859?position=11&amp;pageNum=0&amp;refId=TfIvD0VhcoCCnL7Sb1q69w%3D%3D&amp;trackingId=GMchsF4vLaypr0BCIcoE9g%3D%3D", "Remote Software Engineer (Junior/Entry)")</f>
        <v/>
      </c>
      <c r="B3" t="inlineStr">
        <is>
          <t>SynergisticIT</t>
        </is>
      </c>
      <c r="C3" t="inlineStr">
        <is>
          <t>Dallas, TX</t>
        </is>
      </c>
      <c r="D3" t="inlineStr">
        <is>
          <t xml:space="preserve"> 1 </t>
        </is>
      </c>
      <c r="E3" t="inlineStr">
        <is>
          <t>yes</t>
        </is>
      </c>
      <c r="F3" t="n">
        <v>0.335</v>
      </c>
    </row>
    <row r="4">
      <c r="A4">
        <f>HYPERLINK("https://www.linkedin.com/jobs/view/software-engineer-web-at-topaz-labs-4063363293?position=13&amp;pageNum=0&amp;refId=TfIvD0VhcoCCnL7Sb1q69w%3D%3D&amp;trackingId=0FeomBcEKJpwD1t%2FH%2FGAfw%3D%3D", "Software Engineer, Web")</f>
        <v/>
      </c>
      <c r="B4" t="inlineStr">
        <is>
          <t>Topaz Labs</t>
        </is>
      </c>
      <c r="C4" t="inlineStr">
        <is>
          <t>Dallas, TX</t>
        </is>
      </c>
      <c r="D4" t="inlineStr">
        <is>
          <t xml:space="preserve"> 1 </t>
        </is>
      </c>
      <c r="E4" t="inlineStr">
        <is>
          <t>yes</t>
        </is>
      </c>
      <c r="F4" t="n">
        <v>0.335</v>
      </c>
    </row>
    <row r="5">
      <c r="A5">
        <f>HYPERLINK("https://www.linkedin.com/jobs/view/junior-software-engineer-remote-at-synergisticit-4045426583?position=15&amp;pageNum=0&amp;refId=TfIvD0VhcoCCnL7Sb1q69w%3D%3D&amp;trackingId=zIjGgRrRv7heKZiv2Oj%2F1A%3D%3D", "Junior Software Engineer - REMOTE")</f>
        <v/>
      </c>
      <c r="B5" t="inlineStr">
        <is>
          <t>SynergisticIT</t>
        </is>
      </c>
      <c r="C5" t="inlineStr">
        <is>
          <t>Dallas, TX</t>
        </is>
      </c>
      <c r="D5" t="inlineStr">
        <is>
          <t xml:space="preserve"> 1 </t>
        </is>
      </c>
      <c r="E5" t="inlineStr">
        <is>
          <t>yes</t>
        </is>
      </c>
      <c r="F5" t="n">
        <v>0.335</v>
      </c>
    </row>
    <row r="6">
      <c r="A6">
        <f>HYPERLINK("https://www.linkedin.com/jobs/view/junior-software-engineer-at-synergisticit-4045412652?position=17&amp;pageNum=0&amp;refId=TfIvD0VhcoCCnL7Sb1q69w%3D%3D&amp;trackingId=kPdJke0F3ixDJ8qWzFq8Ww%3D%3D", "Junior Software Engineer")</f>
        <v/>
      </c>
      <c r="B6" t="inlineStr">
        <is>
          <t>SynergisticIT</t>
        </is>
      </c>
      <c r="C6" t="inlineStr">
        <is>
          <t>Dallas, TX</t>
        </is>
      </c>
      <c r="D6" t="inlineStr">
        <is>
          <t xml:space="preserve"> 1 </t>
        </is>
      </c>
      <c r="E6" t="inlineStr">
        <is>
          <t>yes</t>
        </is>
      </c>
      <c r="F6" t="n">
        <v>0.335</v>
      </c>
    </row>
    <row r="7">
      <c r="A7">
        <f>HYPERLINK("https://www.linkedin.com/jobs/view/software-engineer-junior-level-at-synergisticit-4045413448?position=19&amp;pageNum=0&amp;refId=TfIvD0VhcoCCnL7Sb1q69w%3D%3D&amp;trackingId=NZ6piEu3mwfw2Hw9t879Wg%3D%3D", "Software Engineer - Junior Level")</f>
        <v/>
      </c>
      <c r="B7" t="inlineStr">
        <is>
          <t>SynergisticIT</t>
        </is>
      </c>
      <c r="C7" t="inlineStr">
        <is>
          <t>Dallas, TX</t>
        </is>
      </c>
      <c r="D7" t="inlineStr">
        <is>
          <t xml:space="preserve"> 1 </t>
        </is>
      </c>
      <c r="E7" t="inlineStr">
        <is>
          <t>yes</t>
        </is>
      </c>
      <c r="F7" t="n">
        <v>0.335</v>
      </c>
    </row>
    <row r="8">
      <c r="A8">
        <f>HYPERLINK("https://www.linkedin.com/jobs/view/software-engineer-at-pariveda-4132938738?position=39&amp;pageNum=0&amp;refId=TfIvD0VhcoCCnL7Sb1q69w%3D%3D&amp;trackingId=mJ3puV3z2ZtGpeVPZVXf%2Bg%3D%3D", "Software Engineer")</f>
        <v/>
      </c>
      <c r="B8" t="inlineStr">
        <is>
          <t>Pariveda</t>
        </is>
      </c>
      <c r="C8" t="inlineStr">
        <is>
          <t>Dallas, TX</t>
        </is>
      </c>
      <c r="D8" t="inlineStr">
        <is>
          <t>N/A</t>
        </is>
      </c>
      <c r="E8" t="inlineStr">
        <is>
          <t>No</t>
        </is>
      </c>
      <c r="F8" t="n">
        <v>0.335</v>
      </c>
    </row>
    <row r="9">
      <c r="A9">
        <f>HYPERLINK("https://www.linkedin.com/jobs/view/remote-software-engineer-at-synergisticit-4045408919?position=41&amp;pageNum=0&amp;refId=TfIvD0VhcoCCnL7Sb1q69w%3D%3D&amp;trackingId=U0G%2B1hWjRQQK7lFD7b9x3Q%3D%3D", "Remote Software Engineer")</f>
        <v/>
      </c>
      <c r="B9" t="inlineStr">
        <is>
          <t>SynergisticIT</t>
        </is>
      </c>
      <c r="C9" t="inlineStr">
        <is>
          <t>Dallas, TX</t>
        </is>
      </c>
      <c r="D9" t="inlineStr">
        <is>
          <t xml:space="preserve"> 1 </t>
        </is>
      </c>
      <c r="E9" t="inlineStr">
        <is>
          <t>yes</t>
        </is>
      </c>
      <c r="F9" t="n">
        <v>0.335</v>
      </c>
    </row>
    <row r="10">
      <c r="A10">
        <f>HYPERLINK("https://www.linkedin.com/jobs/view/software-engineer-infrastructure-at-topaz-labs-4105089818?position=42&amp;pageNum=0&amp;refId=TfIvD0VhcoCCnL7Sb1q69w%3D%3D&amp;trackingId=tZGTqu1fvqP7GpyD6JgGaA%3D%3D", "Software Engineer, Infrastructure")</f>
        <v/>
      </c>
      <c r="B10" t="inlineStr">
        <is>
          <t>Topaz Labs</t>
        </is>
      </c>
      <c r="C10" t="inlineStr">
        <is>
          <t>Dallas, TX</t>
        </is>
      </c>
      <c r="D10" t="inlineStr">
        <is>
          <t xml:space="preserve"> 1 </t>
        </is>
      </c>
      <c r="E10" t="inlineStr">
        <is>
          <t>yes</t>
        </is>
      </c>
      <c r="F10" t="n">
        <v>0.335</v>
      </c>
    </row>
    <row r="11">
      <c r="A11">
        <f>HYPERLINK("https://www.linkedin.com/jobs/view/software-engineer-product-at-topaz-labs-4109523888?position=47&amp;pageNum=0&amp;refId=TfIvD0VhcoCCnL7Sb1q69w%3D%3D&amp;trackingId=B5qBYMOivKu7YAD79cJSSg%3D%3D", "Software Engineer - (Product)")</f>
        <v/>
      </c>
      <c r="B11" t="inlineStr">
        <is>
          <t>Topaz Labs</t>
        </is>
      </c>
      <c r="C11" t="inlineStr">
        <is>
          <t>Dallas, TX</t>
        </is>
      </c>
      <c r="D11" t="inlineStr">
        <is>
          <t xml:space="preserve"> 1 </t>
        </is>
      </c>
      <c r="E11" t="inlineStr">
        <is>
          <t>yes</t>
        </is>
      </c>
      <c r="F11" t="n">
        <v>0.335</v>
      </c>
    </row>
    <row r="12">
      <c r="A12">
        <f>HYPERLINK("https://www.linkedin.com/jobs/view/software-engineer-cloud-at-topaz-labs-4092413310?position=48&amp;pageNum=0&amp;refId=TfIvD0VhcoCCnL7Sb1q69w%3D%3D&amp;trackingId=P2ZJa8XjCuigNmgr2vrerg%3D%3D", "Software Engineer, Cloud")</f>
        <v/>
      </c>
      <c r="B12" t="inlineStr">
        <is>
          <t>Topaz Labs</t>
        </is>
      </c>
      <c r="C12" t="inlineStr">
        <is>
          <t>Dallas, TX</t>
        </is>
      </c>
      <c r="D12" t="inlineStr">
        <is>
          <t xml:space="preserve"> 1 </t>
        </is>
      </c>
      <c r="E12" t="inlineStr">
        <is>
          <t>yes</t>
        </is>
      </c>
      <c r="F12" t="n">
        <v>0.335</v>
      </c>
    </row>
    <row r="13">
      <c r="A13">
        <f>HYPERLINK("https://www.linkedin.com/jobs/view/data-analyst-specialty-consulting-at-lockton-4051121395?position=2&amp;pageNum=0&amp;refId=%2BG%2ByapoRwMwo63OrvLOpKw%3D%3D&amp;trackingId=tnfgNOjaXx2U4Sqqmt0HsQ%3D%3D", "Data Analyst, Specialty Consulting")</f>
        <v/>
      </c>
      <c r="B13" t="inlineStr">
        <is>
          <t>Lockton</t>
        </is>
      </c>
      <c r="C13" t="inlineStr">
        <is>
          <t>Dallas, TX</t>
        </is>
      </c>
      <c r="D13" t="inlineStr">
        <is>
          <t xml:space="preserve"> 1 </t>
        </is>
      </c>
      <c r="E13" t="inlineStr">
        <is>
          <t>yes</t>
        </is>
      </c>
      <c r="F13" t="n">
        <v>0.335</v>
      </c>
    </row>
    <row r="14">
      <c r="A14">
        <f>HYPERLINK("https://www.linkedin.com/jobs/view/software-engineer-at-lightbeam-health-solutions-4104222136?position=2&amp;pageNum=0&amp;refId=aUwur0NBVSU3LFCMeQz2Qg%3D%3D&amp;trackingId=vK59vwRb%2FO16L9%2BovFu8JQ%3D%3D", "Software Engineer")</f>
        <v/>
      </c>
      <c r="B14" t="inlineStr">
        <is>
          <t>Lightbeam Health Solutions</t>
        </is>
      </c>
      <c r="C14" t="inlineStr">
        <is>
          <t>Dallas, TX</t>
        </is>
      </c>
      <c r="D14" t="inlineStr">
        <is>
          <t xml:space="preserve"> 3 </t>
        </is>
      </c>
      <c r="E14" t="inlineStr">
        <is>
          <t>yes</t>
        </is>
      </c>
      <c r="F14" t="n">
        <v>0.335</v>
      </c>
    </row>
    <row r="15">
      <c r="A15">
        <f>HYPERLINK("https://www.linkedin.com/jobs/view/software-engineer-iii-google-ads-at-google-3851867707?position=59&amp;pageNum=0&amp;refId=toP2lXCBjumMQvS%2BvZEEzw%3D%3D&amp;trackingId=B47MdLip4irADtDLrcd07Q%3D%3D", "Software Engineer III, Google Ads")</f>
        <v/>
      </c>
      <c r="B15" t="inlineStr">
        <is>
          <t>Google</t>
        </is>
      </c>
      <c r="C15" t="inlineStr">
        <is>
          <t>Mountain View, CA</t>
        </is>
      </c>
      <c r="D15" t="inlineStr">
        <is>
          <t xml:space="preserve"> 2 </t>
        </is>
      </c>
      <c r="E15" t="inlineStr">
        <is>
          <t>yes</t>
        </is>
      </c>
      <c r="F15" t="n">
        <v>0.33</v>
      </c>
    </row>
    <row r="16">
      <c r="A16">
        <f>HYPERLINK("https://www.linkedin.com/jobs/view/senior-software-engineer-ai-ml-natural-language-processing-google-cloud-platforms-at-google-4130564256?position=6&amp;pageNum=0&amp;refId=TfIvD0VhcoCCnL7Sb1q69w%3D%3D&amp;trackingId=o8iajpqnwHt4gWQEDpElLA%3D%3D", "Senior Software Engineer, AI/ML Natural Language Processing, Google Cloud Platforms")</f>
        <v/>
      </c>
      <c r="B16" t="inlineStr">
        <is>
          <t>Google</t>
        </is>
      </c>
      <c r="C16" t="inlineStr">
        <is>
          <t>Addison, TX</t>
        </is>
      </c>
      <c r="D16" t="inlineStr">
        <is>
          <t xml:space="preserve"> 2 </t>
        </is>
      </c>
      <c r="E16" t="inlineStr">
        <is>
          <t>yes</t>
        </is>
      </c>
      <c r="F16" t="n">
        <v>0.33</v>
      </c>
    </row>
    <row r="17">
      <c r="A17">
        <f>HYPERLINK("https://www.linkedin.com/jobs/view/software-engineer-iii-front-end-labs-at-google-4138384977?position=1&amp;pageNum=0&amp;refId=AuLMtHnEP5vFrNzb6LHHIw%3D%3D&amp;trackingId=xGPp2klb%2B8U9%2BQq4PilSqQ%3D%3D", "Software Engineer III, Front End, Labs")</f>
        <v/>
      </c>
      <c r="B17" t="inlineStr">
        <is>
          <t>Google</t>
        </is>
      </c>
      <c r="C17" t="inlineStr">
        <is>
          <t>Mountain View, CA</t>
        </is>
      </c>
      <c r="D17" t="inlineStr">
        <is>
          <t xml:space="preserve"> 2 </t>
        </is>
      </c>
      <c r="E17" t="inlineStr">
        <is>
          <t>yes</t>
        </is>
      </c>
      <c r="F17" t="n">
        <v>0.33</v>
      </c>
    </row>
    <row r="18">
      <c r="A18">
        <f>HYPERLINK("https://www.linkedin.com/jobs/view/software-engineer-google-distributed-cloud-at-google-4138392099?position=2&amp;pageNum=0&amp;refId=AuLMtHnEP5vFrNzb6LHHIw%3D%3D&amp;trackingId=xT5%2FEKtOhFDtG2QNZLz95w%3D%3D", "Software Engineer, Google Distributed Cloud")</f>
        <v/>
      </c>
      <c r="B18" t="inlineStr">
        <is>
          <t>Google</t>
        </is>
      </c>
      <c r="C18" t="inlineStr">
        <is>
          <t>Sunnyvale, CA</t>
        </is>
      </c>
      <c r="D18" t="inlineStr">
        <is>
          <t xml:space="preserve"> 2 </t>
        </is>
      </c>
      <c r="E18" t="inlineStr">
        <is>
          <t>yes</t>
        </is>
      </c>
      <c r="F18" t="n">
        <v>0.33</v>
      </c>
    </row>
    <row r="19">
      <c r="A19">
        <f>HYPERLINK("https://www.linkedin.com/jobs/view/software-engineer-iii-front-end-search-at-google-4142242817?position=3&amp;pageNum=0&amp;refId=AuLMtHnEP5vFrNzb6LHHIw%3D%3D&amp;trackingId=0QXYbGkLcnNwSNW2cn%2FqEw%3D%3D", "Software Engineer III, Front End, Search")</f>
        <v/>
      </c>
      <c r="B19" t="inlineStr">
        <is>
          <t>Google</t>
        </is>
      </c>
      <c r="C19" t="inlineStr">
        <is>
          <t>Mountain View, CA</t>
        </is>
      </c>
      <c r="D19" t="inlineStr">
        <is>
          <t xml:space="preserve"> 2 </t>
        </is>
      </c>
      <c r="E19" t="inlineStr">
        <is>
          <t>yes</t>
        </is>
      </c>
      <c r="F19" t="n">
        <v>0.33</v>
      </c>
    </row>
    <row r="20">
      <c r="A20">
        <f>HYPERLINK("https://www.linkedin.com/jobs/view/junior-software-developer-remote-at-synergisticit-4045410840?position=12&amp;pageNum=0&amp;refId=TfIvD0VhcoCCnL7Sb1q69w%3D%3D&amp;trackingId=pxoTJ6bQlurk7e6o%2FQhiBw%3D%3D", "Junior Software Developer(Remote)")</f>
        <v/>
      </c>
      <c r="B20" t="inlineStr">
        <is>
          <t>SynergisticIT</t>
        </is>
      </c>
      <c r="C20" t="inlineStr">
        <is>
          <t>Dallas, TX</t>
        </is>
      </c>
      <c r="D20" t="inlineStr">
        <is>
          <t xml:space="preserve"> 1 </t>
        </is>
      </c>
      <c r="E20" t="inlineStr">
        <is>
          <t>yes</t>
        </is>
      </c>
      <c r="F20" t="n">
        <v>0.17</v>
      </c>
    </row>
    <row r="21">
      <c r="A21">
        <f>HYPERLINK("https://www.linkedin.com/jobs/view/junior-software-developer-remote-at-synergisticit-4045410803?position=14&amp;pageNum=0&amp;refId=TfIvD0VhcoCCnL7Sb1q69w%3D%3D&amp;trackingId=oMuTvJ2mHTY%2BIc%2FObXMnyQ%3D%3D", "Junior Software Developer - Remote")</f>
        <v/>
      </c>
      <c r="B21" t="inlineStr">
        <is>
          <t>SynergisticIT</t>
        </is>
      </c>
      <c r="C21" t="inlineStr">
        <is>
          <t>Dallas, TX</t>
        </is>
      </c>
      <c r="D21" t="inlineStr">
        <is>
          <t xml:space="preserve"> 1 </t>
        </is>
      </c>
      <c r="E21" t="inlineStr">
        <is>
          <t>yes</t>
        </is>
      </c>
      <c r="F21" t="n">
        <v>0.17</v>
      </c>
    </row>
    <row r="22">
      <c r="A22">
        <f>HYPERLINK("https://www.linkedin.com/jobs/view/junior-entry-level-software-developer-at-synergisticit-4045414096?position=16&amp;pageNum=0&amp;refId=TfIvD0VhcoCCnL7Sb1q69w%3D%3D&amp;trackingId=VKkks%2BtgsG9jj9axtxNUHA%3D%3D", "Junior/Entry Level Software Developer")</f>
        <v/>
      </c>
      <c r="B22" t="inlineStr">
        <is>
          <t>SynergisticIT</t>
        </is>
      </c>
      <c r="C22" t="inlineStr">
        <is>
          <t>Dallas, TX</t>
        </is>
      </c>
      <c r="D22" t="inlineStr">
        <is>
          <t xml:space="preserve"> 1 </t>
        </is>
      </c>
      <c r="E22" t="inlineStr">
        <is>
          <t>yes</t>
        </is>
      </c>
      <c r="F22" t="n">
        <v>0.17</v>
      </c>
    </row>
    <row r="23">
      <c r="A23">
        <f>HYPERLINK("https://www.linkedin.com/jobs/view/software-developer-entry-level-at-synergisticit-4045411949?position=18&amp;pageNum=0&amp;refId=TfIvD0VhcoCCnL7Sb1q69w%3D%3D&amp;trackingId=BcOF3EGfd7yuU3BXICX6Vw%3D%3D", "Software Developer(Entry Level)")</f>
        <v/>
      </c>
      <c r="B23" t="inlineStr">
        <is>
          <t>SynergisticIT</t>
        </is>
      </c>
      <c r="C23" t="inlineStr">
        <is>
          <t>Dallas, TX</t>
        </is>
      </c>
      <c r="D23" t="inlineStr">
        <is>
          <t xml:space="preserve"> 1 </t>
        </is>
      </c>
      <c r="E23" t="inlineStr">
        <is>
          <t>yes</t>
        </is>
      </c>
      <c r="F23" t="n">
        <v>0.17</v>
      </c>
    </row>
    <row r="24">
      <c r="A24">
        <f>HYPERLINK("https://www.linkedin.com/jobs/view/software-developer-junior-at-synergisticit-4137080096?position=20&amp;pageNum=0&amp;refId=TfIvD0VhcoCCnL7Sb1q69w%3D%3D&amp;trackingId=L1QnoI8HttxR9u8dNOAfAA%3D%3D", "Software Developer - Junior")</f>
        <v/>
      </c>
      <c r="B24" t="inlineStr">
        <is>
          <t>SynergisticIT</t>
        </is>
      </c>
      <c r="C24" t="inlineStr">
        <is>
          <t>Dallas, TX</t>
        </is>
      </c>
      <c r="D24" t="inlineStr">
        <is>
          <t xml:space="preserve"> 1 </t>
        </is>
      </c>
      <c r="E24" t="inlineStr">
        <is>
          <t>yes</t>
        </is>
      </c>
      <c r="F24" t="n">
        <v>0.17</v>
      </c>
    </row>
    <row r="25">
      <c r="A25">
        <f>HYPERLINK("https://www.linkedin.com/jobs/view/entry-level-python-r-developer-at-synergisticit-4045410822?position=21&amp;pageNum=0&amp;refId=TfIvD0VhcoCCnL7Sb1q69w%3D%3D&amp;trackingId=haO4jAj6%2Bg%2FemGQeOxGCkA%3D%3D", "Entry Level Python/R Developer")</f>
        <v/>
      </c>
      <c r="B25" t="inlineStr">
        <is>
          <t>SynergisticIT</t>
        </is>
      </c>
      <c r="C25" t="inlineStr">
        <is>
          <t>Dallas, TX</t>
        </is>
      </c>
      <c r="D25" t="inlineStr">
        <is>
          <t xml:space="preserve"> 1 </t>
        </is>
      </c>
      <c r="E25" t="inlineStr">
        <is>
          <t>yes</t>
        </is>
      </c>
      <c r="F25" t="n">
        <v>0.17</v>
      </c>
    </row>
    <row r="26">
      <c r="A26">
        <f>HYPERLINK("https://www.linkedin.com/jobs/view/remote-software-developer-junior-at-synergisticit-4045413593?position=23&amp;pageNum=0&amp;refId=TfIvD0VhcoCCnL7Sb1q69w%3D%3D&amp;trackingId=gTf4Z%2BwlIJDuaV8%2FgGuDxA%3D%3D", "Remote Software Developer - Junior")</f>
        <v/>
      </c>
      <c r="B26" t="inlineStr">
        <is>
          <t>SynergisticIT</t>
        </is>
      </c>
      <c r="C26" t="inlineStr">
        <is>
          <t>Dallas, TX</t>
        </is>
      </c>
      <c r="D26" t="inlineStr">
        <is>
          <t xml:space="preserve"> 1 </t>
        </is>
      </c>
      <c r="E26" t="inlineStr">
        <is>
          <t>yes</t>
        </is>
      </c>
      <c r="F26" t="n">
        <v>0.17</v>
      </c>
    </row>
    <row r="27">
      <c r="A27">
        <f>HYPERLINK("https://www.linkedin.com/jobs/view/software-developer-entry-level-at-synergisticit-4080694305?position=27&amp;pageNum=0&amp;refId=TfIvD0VhcoCCnL7Sb1q69w%3D%3D&amp;trackingId=C63Gjz6Y9FwmBRluEQ4oSA%3D%3D", "Software Developer - Entry Level")</f>
        <v/>
      </c>
      <c r="B27" t="inlineStr">
        <is>
          <t>SynergisticIT</t>
        </is>
      </c>
      <c r="C27" t="inlineStr">
        <is>
          <t>Dallas, TX</t>
        </is>
      </c>
      <c r="D27" t="inlineStr">
        <is>
          <t xml:space="preserve"> 1 </t>
        </is>
      </c>
      <c r="E27" t="inlineStr">
        <is>
          <t>yes</t>
        </is>
      </c>
      <c r="F27" t="n">
        <v>0.17</v>
      </c>
    </row>
    <row r="28">
      <c r="A28">
        <f>HYPERLINK("https://www.linkedin.com/jobs/view/jr-java-programmer-remote-at-synergisticit-4045418622?position=28&amp;pageNum=0&amp;refId=TfIvD0VhcoCCnL7Sb1q69w%3D%3D&amp;trackingId=xMdIHEBflk9y%2BTYTHmI9Bg%3D%3D", "Jr. Java programmer(Remote)")</f>
        <v/>
      </c>
      <c r="B28" t="inlineStr">
        <is>
          <t>SynergisticIT</t>
        </is>
      </c>
      <c r="C28" t="inlineStr">
        <is>
          <t>Dallas, TX</t>
        </is>
      </c>
      <c r="D28" t="inlineStr">
        <is>
          <t xml:space="preserve"> 1 </t>
        </is>
      </c>
      <c r="E28" t="inlineStr">
        <is>
          <t>yes</t>
        </is>
      </c>
      <c r="F28" t="n">
        <v>0.17</v>
      </c>
    </row>
    <row r="29">
      <c r="A29">
        <f>HYPERLINK("https://www.linkedin.com/jobs/view/software-developer-entry-junior-at-synergisticit-4045415155?position=29&amp;pageNum=0&amp;refId=TfIvD0VhcoCCnL7Sb1q69w%3D%3D&amp;trackingId=roQIzsDdyYcshmC%2FNf4Orw%3D%3D", "Software Developer - Entry/Junior")</f>
        <v/>
      </c>
      <c r="B29" t="inlineStr">
        <is>
          <t>SynergisticIT</t>
        </is>
      </c>
      <c r="C29" t="inlineStr">
        <is>
          <t>Dallas, TX</t>
        </is>
      </c>
      <c r="D29" t="inlineStr">
        <is>
          <t xml:space="preserve"> 1 </t>
        </is>
      </c>
      <c r="E29" t="inlineStr">
        <is>
          <t>yes</t>
        </is>
      </c>
      <c r="F29" t="n">
        <v>0.17</v>
      </c>
    </row>
    <row r="30">
      <c r="A30">
        <f>HYPERLINK("https://www.linkedin.com/jobs/view/junior-entry-level-software-developer-at-synergisticit-4045412591?position=31&amp;pageNum=0&amp;refId=TfIvD0VhcoCCnL7Sb1q69w%3D%3D&amp;trackingId=nPGdZj96yJgQhoidfSA5qw%3D%3D", "Junior/Entry Level Software Developer")</f>
        <v/>
      </c>
      <c r="B30" t="inlineStr">
        <is>
          <t>SynergisticIT</t>
        </is>
      </c>
      <c r="C30" t="inlineStr">
        <is>
          <t>Dallas, TX</t>
        </is>
      </c>
      <c r="D30" t="inlineStr">
        <is>
          <t xml:space="preserve"> 1 </t>
        </is>
      </c>
      <c r="E30" t="inlineStr">
        <is>
          <t>yes</t>
        </is>
      </c>
      <c r="F30" t="n">
        <v>0.17</v>
      </c>
    </row>
    <row r="31">
      <c r="A31">
        <f>HYPERLINK("https://www.linkedin.com/jobs/view/python-r-developer-remote-at-synergisticit-4045412717?position=33&amp;pageNum=0&amp;refId=TfIvD0VhcoCCnL7Sb1q69w%3D%3D&amp;trackingId=uTWPPpT34kajInYXPkzpGQ%3D%3D", "Python/R Developer - Remote")</f>
        <v/>
      </c>
      <c r="B31" t="inlineStr">
        <is>
          <t>SynergisticIT</t>
        </is>
      </c>
      <c r="C31" t="inlineStr">
        <is>
          <t>Dallas, TX</t>
        </is>
      </c>
      <c r="D31" t="inlineStr">
        <is>
          <t xml:space="preserve"> 1 </t>
        </is>
      </c>
      <c r="E31" t="inlineStr">
        <is>
          <t>yes</t>
        </is>
      </c>
      <c r="F31" t="n">
        <v>0.17</v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2025-02-05T23:33:04Z</dcterms:created>
  <dcterms:modified xmlns:dcterms="http://purl.org/dc/terms/" xmlns:xsi="http://www.w3.org/2001/XMLSchema-instance" xsi:type="dcterms:W3CDTF">2025-02-05T23:33:04Z</dcterms:modified>
</cp:coreProperties>
</file>