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>
    <definedName name="_xlnm._FilterDatabase" localSheetId="0" hidden="1">'Job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H1b Approval 2024</t>
        </is>
      </c>
      <c r="E1" t="inlineStr">
        <is>
          <t>H1b Sponsor</t>
        </is>
      </c>
      <c r="F1" t="inlineStr">
        <is>
          <t>Score</t>
        </is>
      </c>
    </row>
    <row r="2">
      <c r="A2">
        <f>HYPERLINK("https://www.linkedin.com/jobs/view/data-analyst-%E2%80%93-remote-at-synergisticit-4045416029?position=10&amp;pageNum=0&amp;refId=cxuWdmsAJimdNK6iogG3bw%3D%3D&amp;trackingId=iu1xWRYgXrjZ97vOrqkP%2FQ%3D%3D", "Data Analyst – Remote")</f>
        <v/>
      </c>
      <c r="B2" t="inlineStr">
        <is>
          <t>SynergisticIT</t>
        </is>
      </c>
      <c r="C2" t="inlineStr">
        <is>
          <t>Dallas, TX</t>
        </is>
      </c>
      <c r="D2" t="inlineStr">
        <is>
          <t>N/A</t>
        </is>
      </c>
      <c r="E2" t="inlineStr">
        <is>
          <t>No</t>
        </is>
      </c>
      <c r="F2" t="n">
        <v>0.335</v>
      </c>
    </row>
    <row r="3">
      <c r="A3">
        <f>HYPERLINK("https://www.linkedin.com/jobs/view/data-analyst-%EF%BF%BD-remote-at-synergisticit-4017136984?position=11&amp;pageNum=0&amp;refId=cxuWdmsAJimdNK6iogG3bw%3D%3D&amp;trackingId=J08GaqAen%2FfsZzBIbUSrnw%3D%3D", "Data Analyst � Remote")</f>
        <v/>
      </c>
      <c r="B3" t="inlineStr">
        <is>
          <t>SynergisticIT</t>
        </is>
      </c>
      <c r="C3" t="inlineStr">
        <is>
          <t>Dallas, TX</t>
        </is>
      </c>
      <c r="D3" t="inlineStr">
        <is>
          <t>N/A</t>
        </is>
      </c>
      <c r="E3" t="inlineStr">
        <is>
          <t>No</t>
        </is>
      </c>
      <c r="F3" t="n">
        <v>0.335</v>
      </c>
    </row>
    <row r="4">
      <c r="A4">
        <f>HYPERLINK("https://www.linkedin.com/jobs/view/entry-level-data-analyst-engineer-at-synergisticit-4045409984?position=13&amp;pageNum=0&amp;refId=cxuWdmsAJimdNK6iogG3bw%3D%3D&amp;trackingId=96sE0aBIY2epGciubkxZ1g%3D%3D", "Entry Level Data Analyst/Engineer")</f>
        <v/>
      </c>
      <c r="B4" t="inlineStr">
        <is>
          <t>SynergisticIT</t>
        </is>
      </c>
      <c r="C4" t="inlineStr">
        <is>
          <t>Dallas, TX</t>
        </is>
      </c>
      <c r="D4" t="inlineStr">
        <is>
          <t>N/A</t>
        </is>
      </c>
      <c r="E4" t="inlineStr">
        <is>
          <t>No</t>
        </is>
      </c>
      <c r="F4" t="n">
        <v>0.335</v>
      </c>
    </row>
    <row r="5">
      <c r="A5">
        <f>HYPERLINK("https://www.linkedin.com/jobs/view/entry-level-data-analyst-engineer-at-synergisticit-4045415114?position=14&amp;pageNum=0&amp;refId=cxuWdmsAJimdNK6iogG3bw%3D%3D&amp;trackingId=Ycn%2F%2FRVSc20SAatqd7L6Yw%3D%3D", "Entry Level Data Analyst/Engineer")</f>
        <v/>
      </c>
      <c r="B5" t="inlineStr">
        <is>
          <t>SynergisticIT</t>
        </is>
      </c>
      <c r="C5" t="inlineStr">
        <is>
          <t>Dallas, TX</t>
        </is>
      </c>
      <c r="D5" t="inlineStr">
        <is>
          <t>N/A</t>
        </is>
      </c>
      <c r="E5" t="inlineStr">
        <is>
          <t>No</t>
        </is>
      </c>
      <c r="F5" t="n">
        <v>0.335</v>
      </c>
    </row>
    <row r="6">
      <c r="A6">
        <f>HYPERLINK("https://www.linkedin.com/jobs/view/data-analyst-engineer-remote-at-synergisticit-4045410880?position=15&amp;pageNum=0&amp;refId=cxuWdmsAJimdNK6iogG3bw%3D%3D&amp;trackingId=qLr2XRAnt4P8LEMPX6YytQ%3D%3D", "Data Analyst/Engineer - Remote")</f>
        <v/>
      </c>
      <c r="B6" t="inlineStr">
        <is>
          <t>SynergisticIT</t>
        </is>
      </c>
      <c r="C6" t="inlineStr">
        <is>
          <t>Dallas, TX</t>
        </is>
      </c>
      <c r="D6" t="inlineStr">
        <is>
          <t>N/A</t>
        </is>
      </c>
      <c r="E6" t="inlineStr">
        <is>
          <t>No</t>
        </is>
      </c>
      <c r="F6" t="n">
        <v>0.335</v>
      </c>
    </row>
    <row r="7">
      <c r="A7">
        <f>HYPERLINK("https://www.linkedin.com/jobs/view/data-analyst-scientist-remote-at-synergisticit-4045413547?position=17&amp;pageNum=0&amp;refId=cxuWdmsAJimdNK6iogG3bw%3D%3D&amp;trackingId=QxaxJtySiOAEdCto8vdg%2BQ%3D%3D", "Data Analyst/Scientist - Remote")</f>
        <v/>
      </c>
      <c r="B7" t="inlineStr">
        <is>
          <t>SynergisticIT</t>
        </is>
      </c>
      <c r="C7" t="inlineStr">
        <is>
          <t>Dallas, TX</t>
        </is>
      </c>
      <c r="D7" t="inlineStr">
        <is>
          <t>N/A</t>
        </is>
      </c>
      <c r="E7" t="inlineStr">
        <is>
          <t>No</t>
        </is>
      </c>
      <c r="F7" t="n">
        <v>0.335</v>
      </c>
    </row>
    <row r="8">
      <c r="A8">
        <f>HYPERLINK("https://www.linkedin.com/jobs/view/senior-data-analyst-at-apex-fintech-solutions-4075762018?position=32&amp;pageNum=0&amp;refId=cxuWdmsAJimdNK6iogG3bw%3D%3D&amp;trackingId=%2BDdZp50BE1INZoBwVal%2Fsw%3D%3D", "Senior Data Analyst")</f>
        <v/>
      </c>
      <c r="B8" t="inlineStr">
        <is>
          <t>Apex Fintech Solutions</t>
        </is>
      </c>
      <c r="C8" t="inlineStr">
        <is>
          <t>Dallas, TX</t>
        </is>
      </c>
      <c r="D8" t="inlineStr">
        <is>
          <t>N/A</t>
        </is>
      </c>
      <c r="E8" t="inlineStr">
        <is>
          <t>No</t>
        </is>
      </c>
      <c r="F8" t="n">
        <v>0.335</v>
      </c>
    </row>
    <row r="9">
      <c r="A9">
        <f>HYPERLINK("https://www.linkedin.com/jobs/view/remote-software-engineer-junior-entry-at-synergisticit-4045410859?position=52&amp;pageNum=0&amp;refId=cxuWdmsAJimdNK6iogG3bw%3D%3D&amp;trackingId=bgz8T7GS3xnsSS7sHUTefw%3D%3D", "Remote Software Engineer (Junior/Entry)")</f>
        <v/>
      </c>
      <c r="B9" t="inlineStr">
        <is>
          <t>SynergisticIT</t>
        </is>
      </c>
      <c r="C9" t="inlineStr">
        <is>
          <t>Dallas, TX</t>
        </is>
      </c>
      <c r="D9" t="inlineStr">
        <is>
          <t>N/A</t>
        </is>
      </c>
      <c r="E9" t="inlineStr">
        <is>
          <t>No</t>
        </is>
      </c>
      <c r="F9" t="n">
        <v>0.335</v>
      </c>
    </row>
    <row r="10">
      <c r="A10">
        <f>HYPERLINK("https://www.linkedin.com/jobs/view/software-engineer-junior-level-remote-at-synergisticit-4045412560?position=60&amp;pageNum=0&amp;refId=cxuWdmsAJimdNK6iogG3bw%3D%3D&amp;trackingId=k5cEBAwD4RZCsR0bsS6MKg%3D%3D", "Software Engineer - Junior Level(Remote)")</f>
        <v/>
      </c>
      <c r="B10" t="inlineStr">
        <is>
          <t>SynergisticIT</t>
        </is>
      </c>
      <c r="C10" t="inlineStr">
        <is>
          <t>Dallas, TX</t>
        </is>
      </c>
      <c r="D10" t="inlineStr">
        <is>
          <t>N/A</t>
        </is>
      </c>
      <c r="E10" t="inlineStr">
        <is>
          <t>No</t>
        </is>
      </c>
      <c r="F10" t="n">
        <v>0.335</v>
      </c>
    </row>
    <row r="11">
      <c r="A11">
        <f>HYPERLINK("https://www.linkedin.com/jobs/view/senior-software-developer-full-stack-google-workspace-at-google-4124179934?position=58&amp;pageNum=0&amp;refId=dT4rjdXtwjTDJGC0EGz4vg%3D%3D&amp;trackingId=XykbTW0Gi0zhK3tT22EvMA%3D%3D", "Senior Software Developer, Full Stack, Google Workspace")</f>
        <v/>
      </c>
      <c r="B11" t="inlineStr">
        <is>
          <t>Google</t>
        </is>
      </c>
      <c r="C11" t="inlineStr">
        <is>
          <t>California, United States</t>
        </is>
      </c>
      <c r="D11" t="inlineStr">
        <is>
          <t>N/A</t>
        </is>
      </c>
      <c r="E11" t="inlineStr">
        <is>
          <t>No</t>
        </is>
      </c>
      <c r="F11" t="n">
        <v>0.335</v>
      </c>
    </row>
    <row r="12">
      <c r="A12">
        <f>HYPERLINK("https://www.linkedin.com/jobs/view/data-analyst-specialty-consulting-at-lockton-4051121395?position=2&amp;pageNum=0&amp;refId=sqKbNNS85bhV0iHOLYwJnA%3D%3D&amp;trackingId=LOYC9OXjYn%2B8JrRna1vJvQ%3D%3D", "Data Analyst, Specialty Consulting")</f>
        <v/>
      </c>
      <c r="B12" t="inlineStr">
        <is>
          <t>Lockton</t>
        </is>
      </c>
      <c r="C12" t="inlineStr">
        <is>
          <t>Dallas, TX</t>
        </is>
      </c>
      <c r="D12" t="inlineStr">
        <is>
          <t>N/A</t>
        </is>
      </c>
      <c r="E12" t="inlineStr">
        <is>
          <t>No</t>
        </is>
      </c>
      <c r="F12" t="n">
        <v>0.335</v>
      </c>
    </row>
    <row r="13">
      <c r="A13">
        <f>HYPERLINK("https://www.linkedin.com/jobs/view/software-engineer-at-lightbeam-health-solutions-4104222136?position=2&amp;pageNum=0&amp;refId=mCkcYIRky2l0MZjfoIJRiA%3D%3D&amp;trackingId=SyTIlp05qBHdfeeivFl0tQ%3D%3D", "Software Engineer")</f>
        <v/>
      </c>
      <c r="B13" t="inlineStr">
        <is>
          <t>Lightbeam Health Solutions</t>
        </is>
      </c>
      <c r="C13" t="inlineStr">
        <is>
          <t>Dallas, TX</t>
        </is>
      </c>
      <c r="D13" t="inlineStr">
        <is>
          <t>N/A</t>
        </is>
      </c>
      <c r="E13" t="inlineStr">
        <is>
          <t>No</t>
        </is>
      </c>
      <c r="F13" t="n">
        <v>0.335</v>
      </c>
    </row>
    <row r="14">
      <c r="A14">
        <f>HYPERLINK("https://www.linkedin.com/jobs/view/senior-software-engineer-ai-ml-natural-language-processing-google-cloud-platforms-at-google-4130564256?position=9&amp;pageNum=0&amp;refId=cxuWdmsAJimdNK6iogG3bw%3D%3D&amp;trackingId=QTvb80G0h0hTNCiWR04K%2Fw%3D%3D", "Senior Software Engineer, AI/ML Natural Language Processing, Google Cloud Platforms")</f>
        <v/>
      </c>
      <c r="B14" t="inlineStr">
        <is>
          <t>Google</t>
        </is>
      </c>
      <c r="C14" t="inlineStr">
        <is>
          <t>Addison, TX</t>
        </is>
      </c>
      <c r="D14" t="inlineStr">
        <is>
          <t>N/A</t>
        </is>
      </c>
      <c r="E14" t="inlineStr">
        <is>
          <t>No</t>
        </is>
      </c>
      <c r="F14" t="n">
        <v>0.33</v>
      </c>
    </row>
    <row r="15">
      <c r="A15">
        <f>HYPERLINK("https://www.linkedin.com/jobs/view/software-engineer-iii-front-end-labs-at-google-4138384977?position=1&amp;pageNum=0&amp;refId=dT4rjdXtwjTDJGC0EGz4vg%3D%3D&amp;trackingId=RY2Ey8h2xo224GAMmIdbJw%3D%3D", "Software Engineer III, Front End, Labs")</f>
        <v/>
      </c>
      <c r="B15" t="inlineStr">
        <is>
          <t>Google</t>
        </is>
      </c>
      <c r="C15" t="inlineStr">
        <is>
          <t>Mountain View, CA</t>
        </is>
      </c>
      <c r="D15" t="inlineStr">
        <is>
          <t>N/A</t>
        </is>
      </c>
      <c r="E15" t="inlineStr">
        <is>
          <t>No</t>
        </is>
      </c>
      <c r="F15" t="n">
        <v>0.33</v>
      </c>
    </row>
    <row r="16">
      <c r="A16">
        <f>HYPERLINK("https://www.linkedin.com/jobs/view/software-engineer-google-distributed-cloud-at-google-4138392099?position=2&amp;pageNum=0&amp;refId=dT4rjdXtwjTDJGC0EGz4vg%3D%3D&amp;trackingId=1PKqTBM3a%2FZ6UvJFT6EneA%3D%3D", "Software Engineer, Google Distributed Cloud")</f>
        <v/>
      </c>
      <c r="B16" t="inlineStr">
        <is>
          <t>Google</t>
        </is>
      </c>
      <c r="C16" t="inlineStr">
        <is>
          <t>Sunnyvale, CA</t>
        </is>
      </c>
      <c r="D16" t="inlineStr">
        <is>
          <t>N/A</t>
        </is>
      </c>
      <c r="E16" t="inlineStr">
        <is>
          <t>No</t>
        </is>
      </c>
      <c r="F16" t="n">
        <v>0.33</v>
      </c>
    </row>
    <row r="17">
      <c r="A17">
        <f>HYPERLINK("https://www.linkedin.com/jobs/view/software-engineer-iii-front-end-search-at-google-4142242817?position=3&amp;pageNum=0&amp;refId=dT4rjdXtwjTDJGC0EGz4vg%3D%3D&amp;trackingId=IPGX%2BEbaEnpQ2suIa%2Fk91w%3D%3D", "Software Engineer III, Front End, Search")</f>
        <v/>
      </c>
      <c r="B17" t="inlineStr">
        <is>
          <t>Google</t>
        </is>
      </c>
      <c r="C17" t="inlineStr">
        <is>
          <t>Mountain View, CA</t>
        </is>
      </c>
      <c r="D17" t="inlineStr">
        <is>
          <t>N/A</t>
        </is>
      </c>
      <c r="E17" t="inlineStr">
        <is>
          <t>No</t>
        </is>
      </c>
      <c r="F17" t="n">
        <v>0.33</v>
      </c>
    </row>
    <row r="18">
      <c r="A18">
        <f>HYPERLINK("https://www.linkedin.com/jobs/view/software-engineer-search-quality-at-google-4137485818?position=4&amp;pageNum=0&amp;refId=dT4rjdXtwjTDJGC0EGz4vg%3D%3D&amp;trackingId=ufZEDIxgAIzaL0IVftmSYw%3D%3D", "Software Engineer, Search Quality")</f>
        <v/>
      </c>
      <c r="B18" t="inlineStr">
        <is>
          <t>Google</t>
        </is>
      </c>
      <c r="C18" t="inlineStr">
        <is>
          <t>Mountain View, CA</t>
        </is>
      </c>
      <c r="D18" t="inlineStr">
        <is>
          <t>N/A</t>
        </is>
      </c>
      <c r="E18" t="inlineStr">
        <is>
          <t>No</t>
        </is>
      </c>
      <c r="F18" t="n">
        <v>0.33</v>
      </c>
    </row>
    <row r="19">
      <c r="A19">
        <f>HYPERLINK("https://www.linkedin.com/jobs/view/software-engineer-iii-full-stack-google-cloud-platforms-at-google-4138681616?position=5&amp;pageNum=0&amp;refId=dT4rjdXtwjTDJGC0EGz4vg%3D%3D&amp;trackingId=qsdJnvZq0YRYEXeWnF3FGw%3D%3D", "Software Engineer III, Full Stack, Google Cloud Platforms")</f>
        <v/>
      </c>
      <c r="B19" t="inlineStr">
        <is>
          <t>Google</t>
        </is>
      </c>
      <c r="C19" t="inlineStr">
        <is>
          <t>San Francisco, CA</t>
        </is>
      </c>
      <c r="D19" t="inlineStr">
        <is>
          <t>N/A</t>
        </is>
      </c>
      <c r="E19" t="inlineStr">
        <is>
          <t>No</t>
        </is>
      </c>
      <c r="F19" t="n">
        <v>0.33</v>
      </c>
    </row>
    <row r="20">
      <c r="A20">
        <f>HYPERLINK("https://www.linkedin.com/jobs/view/software-engineer-iii-full-stack-google-ads-at-google-3992353507?position=6&amp;pageNum=0&amp;refId=dT4rjdXtwjTDJGC0EGz4vg%3D%3D&amp;trackingId=Dw70zl15GjUaSbu5bqwdbA%3D%3D", "Software Engineer III, Full Stack, Google Ads")</f>
        <v/>
      </c>
      <c r="B20" t="inlineStr">
        <is>
          <t>Google</t>
        </is>
      </c>
      <c r="C20" t="inlineStr">
        <is>
          <t>Mountain View, CA</t>
        </is>
      </c>
      <c r="D20" t="inlineStr">
        <is>
          <t>N/A</t>
        </is>
      </c>
      <c r="E20" t="inlineStr">
        <is>
          <t>No</t>
        </is>
      </c>
      <c r="F20" t="n">
        <v>0.33</v>
      </c>
    </row>
    <row r="21">
      <c r="A21">
        <f>HYPERLINK("https://www.linkedin.com/jobs/view/software-engineer-iii-full-stack-google-ads-at-google-3992357240?position=7&amp;pageNum=0&amp;refId=dT4rjdXtwjTDJGC0EGz4vg%3D%3D&amp;trackingId=9p9ZB8o3LbnoC%2BMwBGTbVA%3D%3D", "Software Engineer III, Full Stack, Google Ads")</f>
        <v/>
      </c>
      <c r="B21" t="inlineStr">
        <is>
          <t>Google</t>
        </is>
      </c>
      <c r="C21" t="inlineStr">
        <is>
          <t>Los Angeles, CA</t>
        </is>
      </c>
      <c r="D21" t="inlineStr">
        <is>
          <t>N/A</t>
        </is>
      </c>
      <c r="E21" t="inlineStr">
        <is>
          <t>No</t>
        </is>
      </c>
      <c r="F21" t="n">
        <v>0.33</v>
      </c>
    </row>
    <row r="22">
      <c r="A22">
        <f>HYPERLINK("https://www.linkedin.com/jobs/view/software-engineer-iii-front-end-google-cloud-business-platforms-at-google-4138680708?position=8&amp;pageNum=0&amp;refId=dT4rjdXtwjTDJGC0EGz4vg%3D%3D&amp;trackingId=C6ZKi18Tz2O%2FNAM4foc01w%3D%3D", "Software Engineer III, Front End, Google Cloud Business Platforms")</f>
        <v/>
      </c>
      <c r="B22" t="inlineStr">
        <is>
          <t>Google</t>
        </is>
      </c>
      <c r="C22" t="inlineStr">
        <is>
          <t>San Francisco, CA</t>
        </is>
      </c>
      <c r="D22" t="inlineStr">
        <is>
          <t>N/A</t>
        </is>
      </c>
      <c r="E22" t="inlineStr">
        <is>
          <t>No</t>
        </is>
      </c>
      <c r="F22" t="n">
        <v>0.33</v>
      </c>
    </row>
    <row r="23">
      <c r="A23">
        <f>HYPERLINK("https://www.linkedin.com/jobs/view/software-engineer-iii-google-ads-at-google-4126847772?position=9&amp;pageNum=0&amp;refId=dT4rjdXtwjTDJGC0EGz4vg%3D%3D&amp;trackingId=zm57YEogehJjqATgsFdqvg%3D%3D", "Software Engineer III, Google Ads")</f>
        <v/>
      </c>
      <c r="B23" t="inlineStr">
        <is>
          <t>Google</t>
        </is>
      </c>
      <c r="C23" t="inlineStr">
        <is>
          <t>Los Angeles, CA</t>
        </is>
      </c>
      <c r="D23" t="inlineStr">
        <is>
          <t>N/A</t>
        </is>
      </c>
      <c r="E23" t="inlineStr">
        <is>
          <t>No</t>
        </is>
      </c>
      <c r="F23" t="n">
        <v>0.33</v>
      </c>
    </row>
    <row r="24">
      <c r="A24">
        <f>HYPERLINK("https://www.linkedin.com/jobs/view/software-engineer-iii-chrome-at-google-4118134252?position=10&amp;pageNum=0&amp;refId=dT4rjdXtwjTDJGC0EGz4vg%3D%3D&amp;trackingId=y3BK15Tck%2B%2BSuDr%2BRclydQ%3D%3D", "Software Engineer III, Chrome")</f>
        <v/>
      </c>
      <c r="B24" t="inlineStr">
        <is>
          <t>Google</t>
        </is>
      </c>
      <c r="C24" t="inlineStr">
        <is>
          <t>Mountain View, CA</t>
        </is>
      </c>
      <c r="D24" t="inlineStr">
        <is>
          <t>N/A</t>
        </is>
      </c>
      <c r="E24" t="inlineStr">
        <is>
          <t>No</t>
        </is>
      </c>
      <c r="F24" t="n">
        <v>0.33</v>
      </c>
    </row>
    <row r="25">
      <c r="A25">
        <f>HYPERLINK("https://www.linkedin.com/jobs/view/software-engineer-iii-front-end-google-cloud-business-platforms-at-google-4138684332?position=11&amp;pageNum=0&amp;refId=dT4rjdXtwjTDJGC0EGz4vg%3D%3D&amp;trackingId=92wT%2FV7rZ0WZMVDn0Sdh7Q%3D%3D", "Software Engineer III, Front End, Google Cloud Business Platforms")</f>
        <v/>
      </c>
      <c r="B25" t="inlineStr">
        <is>
          <t>Google</t>
        </is>
      </c>
      <c r="C25" t="inlineStr">
        <is>
          <t>Sunnyvale, CA</t>
        </is>
      </c>
      <c r="D25" t="inlineStr">
        <is>
          <t>N/A</t>
        </is>
      </c>
      <c r="E25" t="inlineStr">
        <is>
          <t>No</t>
        </is>
      </c>
      <c r="F25" t="n">
        <v>0.33</v>
      </c>
    </row>
    <row r="26">
      <c r="A26">
        <f>HYPERLINK("https://www.linkedin.com/jobs/view/software-engineer-iii-search-at-google-4139949294?position=12&amp;pageNum=0&amp;refId=dT4rjdXtwjTDJGC0EGz4vg%3D%3D&amp;trackingId=5apRiQrju1xq4PnfuioNuA%3D%3D", "Software Engineer III, Search")</f>
        <v/>
      </c>
      <c r="B26" t="inlineStr">
        <is>
          <t>Google</t>
        </is>
      </c>
      <c r="C26" t="inlineStr">
        <is>
          <t>Mountain View, CA</t>
        </is>
      </c>
      <c r="D26" t="inlineStr">
        <is>
          <t>N/A</t>
        </is>
      </c>
      <c r="E26" t="inlineStr">
        <is>
          <t>No</t>
        </is>
      </c>
      <c r="F26" t="n">
        <v>0.33</v>
      </c>
    </row>
    <row r="27">
      <c r="A27">
        <f>HYPERLINK("https://www.linkedin.com/jobs/view/software-engineer-iii-google-ads-at-google-3851867707?position=13&amp;pageNum=0&amp;refId=dT4rjdXtwjTDJGC0EGz4vg%3D%3D&amp;trackingId=fvd7l0IdB7X3QldGE%2F36vQ%3D%3D", "Software Engineer III, Google Ads")</f>
        <v/>
      </c>
      <c r="B27" t="inlineStr">
        <is>
          <t>Google</t>
        </is>
      </c>
      <c r="C27" t="inlineStr">
        <is>
          <t>Mountain View, CA</t>
        </is>
      </c>
      <c r="D27" t="inlineStr">
        <is>
          <t>N/A</t>
        </is>
      </c>
      <c r="E27" t="inlineStr">
        <is>
          <t>No</t>
        </is>
      </c>
      <c r="F27" t="n">
        <v>0.33</v>
      </c>
    </row>
    <row r="28">
      <c r="A28">
        <f>HYPERLINK("https://www.linkedin.com/jobs/view/senior-software-engineer-front-end-search-at-google-4142829710?position=14&amp;pageNum=0&amp;refId=dT4rjdXtwjTDJGC0EGz4vg%3D%3D&amp;trackingId=uZKTm1iTVauPk6AbtSXe1Q%3D%3D", "Senior Software Engineer, Front End, Search")</f>
        <v/>
      </c>
      <c r="B28" t="inlineStr">
        <is>
          <t>Google</t>
        </is>
      </c>
      <c r="C28" t="inlineStr">
        <is>
          <t>Mountain View, CA</t>
        </is>
      </c>
      <c r="D28" t="inlineStr">
        <is>
          <t>N/A</t>
        </is>
      </c>
      <c r="E28" t="inlineStr">
        <is>
          <t>No</t>
        </is>
      </c>
      <c r="F28" t="n">
        <v>0.33</v>
      </c>
    </row>
    <row r="29">
      <c r="A29">
        <f>HYPERLINK("https://www.linkedin.com/jobs/view/software-engineer-iii-google-ads-at-google-4139896677?position=15&amp;pageNum=0&amp;refId=dT4rjdXtwjTDJGC0EGz4vg%3D%3D&amp;trackingId=YIVlsH0pJTvf38c%2F7SCuzg%3D%3D", "Software Engineer III, Google Ads")</f>
        <v/>
      </c>
      <c r="B29" t="inlineStr">
        <is>
          <t>Google</t>
        </is>
      </c>
      <c r="C29" t="inlineStr">
        <is>
          <t>Los Angeles, CA</t>
        </is>
      </c>
      <c r="D29" t="inlineStr">
        <is>
          <t>N/A</t>
        </is>
      </c>
      <c r="E29" t="inlineStr">
        <is>
          <t>No</t>
        </is>
      </c>
      <c r="F29" t="n">
        <v>0.33</v>
      </c>
    </row>
    <row r="30">
      <c r="A30">
        <f>HYPERLINK("https://www.linkedin.com/jobs/view/software-engineer-iii-payments-at-google-4130558965?position=16&amp;pageNum=0&amp;refId=dT4rjdXtwjTDJGC0EGz4vg%3D%3D&amp;trackingId=rFNRIeZh8qr7PuzgvfEmKw%3D%3D", "Software Engineer III, Payments")</f>
        <v/>
      </c>
      <c r="B30" t="inlineStr">
        <is>
          <t>Google</t>
        </is>
      </c>
      <c r="C30" t="inlineStr">
        <is>
          <t>Mountain View, CA</t>
        </is>
      </c>
      <c r="D30" t="inlineStr">
        <is>
          <t>N/A</t>
        </is>
      </c>
      <c r="E30" t="inlineStr">
        <is>
          <t>No</t>
        </is>
      </c>
      <c r="F30" t="n">
        <v>0.33</v>
      </c>
    </row>
    <row r="31">
      <c r="A31">
        <f>HYPERLINK("https://www.linkedin.com/jobs/view/software-engineer-engineering-productivity-silicon-at-google-4126313487?position=17&amp;pageNum=0&amp;refId=dT4rjdXtwjTDJGC0EGz4vg%3D%3D&amp;trackingId=fmvH%2FcSkyLPIXX9SzeuwXA%3D%3D", "Software Engineer, Engineering Productivity, Silicon")</f>
        <v/>
      </c>
      <c r="B31" t="inlineStr">
        <is>
          <t>Google</t>
        </is>
      </c>
      <c r="C31" t="inlineStr">
        <is>
          <t>Mountain View, CA</t>
        </is>
      </c>
      <c r="D31" t="inlineStr">
        <is>
          <t>N/A</t>
        </is>
      </c>
      <c r="E31" t="inlineStr">
        <is>
          <t>No</t>
        </is>
      </c>
      <c r="F31" t="n">
        <v>0.33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2025-02-05T23:20:42Z</dcterms:created>
  <dcterms:modified xmlns:dcterms="http://purl.org/dc/terms/" xmlns:xsi="http://www.w3.org/2001/XMLSchema-instance" xsi:type="dcterms:W3CDTF">2025-02-05T23:20:42Z</dcterms:modified>
</cp:coreProperties>
</file>