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>
    <definedName name="_xlnm._FilterDatabase" localSheetId="0" hidden="1">'Job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H1b Approval 2024</t>
        </is>
      </c>
      <c r="E1" t="inlineStr">
        <is>
          <t>H1b Sponsor</t>
        </is>
      </c>
      <c r="F1" t="inlineStr">
        <is>
          <t>Score</t>
        </is>
      </c>
    </row>
    <row r="2">
      <c r="A2">
        <f>HYPERLINK("https://www.linkedin.com/jobs/view/program-manager-data-center-construction-at-google-4137490237?position=5&amp;pageNum=0&amp;refId=FQq2j8rNs%2Fq59sEN9OhZiw%3D%3D&amp;trackingId=yZxqUTFETgpPcx5g7ly%2Fng%3D%3D", "Program Manager, Data Center Construction")</f>
        <v/>
      </c>
      <c r="B2" t="inlineStr">
        <is>
          <t>Google</t>
        </is>
      </c>
      <c r="C2" t="inlineStr">
        <is>
          <t>Texas, United States</t>
        </is>
      </c>
      <c r="D2" t="inlineStr">
        <is>
          <t xml:space="preserve"> 2 </t>
        </is>
      </c>
      <c r="E2" t="inlineStr">
        <is>
          <t>yes</t>
        </is>
      </c>
      <c r="F2" t="n">
        <v>0.335</v>
      </c>
    </row>
    <row r="3">
      <c r="A3">
        <f>HYPERLINK("https://www.linkedin.com/jobs/view/program-manager-iii-supply-chain-google-global-networking-at-google-4131493460?position=1&amp;pageNum=0&amp;refId=FQq2j8rNs%2Fq59sEN9OhZiw%3D%3D&amp;trackingId=gYtN3qZqeeshpfTocAEhyA%3D%3D", "Program Manager III, Supply Chain, Google Global Networking")</f>
        <v/>
      </c>
      <c r="B3" t="inlineStr">
        <is>
          <t>Google</t>
        </is>
      </c>
      <c r="C3" t="inlineStr">
        <is>
          <t>Addison, TX</t>
        </is>
      </c>
      <c r="D3" t="inlineStr">
        <is>
          <t xml:space="preserve"> 2 </t>
        </is>
      </c>
      <c r="E3" t="inlineStr">
        <is>
          <t>yes</t>
        </is>
      </c>
      <c r="F3" t="n">
        <v>0.33</v>
      </c>
    </row>
    <row r="4">
      <c r="A4">
        <f>HYPERLINK("https://www.linkedin.com/jobs/view/supply-chain-business-systems-analyst-devices-and-services-at-google-4145685960?position=2&amp;pageNum=0&amp;refId=FQq2j8rNs%2Fq59sEN9OhZiw%3D%3D&amp;trackingId=C5gHqp4mQTGshSW6RrBTvw%3D%3D", "Supply Chain Business Systems Analyst, Devices and Services")</f>
        <v/>
      </c>
      <c r="B4" t="inlineStr">
        <is>
          <t>Google</t>
        </is>
      </c>
      <c r="C4" t="inlineStr">
        <is>
          <t>Austin, TX</t>
        </is>
      </c>
      <c r="D4" t="inlineStr">
        <is>
          <t xml:space="preserve"> 2 </t>
        </is>
      </c>
      <c r="E4" t="inlineStr">
        <is>
          <t>yes</t>
        </is>
      </c>
      <c r="F4" t="n">
        <v>0.33</v>
      </c>
    </row>
    <row r="5">
      <c r="A5">
        <f>HYPERLINK("https://www.linkedin.com/jobs/view/program-manager-iii-supply-chain-cloud-networking-at-google-4140212251?position=3&amp;pageNum=0&amp;refId=FQq2j8rNs%2Fq59sEN9OhZiw%3D%3D&amp;trackingId=31432rnPT5qoPJSAsS4L7w%3D%3D", "Program Manager III, Supply Chain, Cloud Networking")</f>
        <v/>
      </c>
      <c r="B5" t="inlineStr">
        <is>
          <t>Google</t>
        </is>
      </c>
      <c r="C5" t="inlineStr">
        <is>
          <t>Austin, TX</t>
        </is>
      </c>
      <c r="D5" t="inlineStr">
        <is>
          <t xml:space="preserve"> 2 </t>
        </is>
      </c>
      <c r="E5" t="inlineStr">
        <is>
          <t>yes</t>
        </is>
      </c>
      <c r="F5" t="n">
        <v>0.33</v>
      </c>
    </row>
    <row r="6">
      <c r="A6">
        <f>HYPERLINK("https://www.linkedin.com/jobs/view/program-manager-iii-supply-chain-customer-success-google-cloud-at-google-4136627310?position=1&amp;pageNum=0&amp;refId=%2B%2FUqsZH0DDivExHVNwaJPA%3D%3D&amp;trackingId=msHHntZ2u4XjSdlt0RmXJA%3D%3D", "Program Manager III, Supply Chain Customer Success, Google Cloud")</f>
        <v/>
      </c>
      <c r="B6" t="inlineStr">
        <is>
          <t>Google</t>
        </is>
      </c>
      <c r="C6" t="inlineStr">
        <is>
          <t>Sunnyvale, CA</t>
        </is>
      </c>
      <c r="D6" t="inlineStr">
        <is>
          <t xml:space="preserve"> 2 </t>
        </is>
      </c>
      <c r="E6" t="inlineStr">
        <is>
          <t>yes</t>
        </is>
      </c>
      <c r="F6" t="n">
        <v>0.33</v>
      </c>
    </row>
    <row r="7">
      <c r="A7">
        <f>HYPERLINK("https://www.linkedin.com/jobs/view/application-engineer-supply-chain-systems-at-google-4117548589?position=3&amp;pageNum=0&amp;refId=%2B%2FUqsZH0DDivExHVNwaJPA%3D%3D&amp;trackingId=3dc90e8mC%2FPVQ037gyt1FQ%3D%3D", "Application Engineer, Supply Chain Systems")</f>
        <v/>
      </c>
      <c r="B7" t="inlineStr">
        <is>
          <t>Google</t>
        </is>
      </c>
      <c r="C7" t="inlineStr">
        <is>
          <t>Sunnyvale, CA</t>
        </is>
      </c>
      <c r="D7" t="inlineStr">
        <is>
          <t xml:space="preserve"> 2 </t>
        </is>
      </c>
      <c r="E7" t="inlineStr">
        <is>
          <t>yes</t>
        </is>
      </c>
      <c r="F7" t="n">
        <v>0.33</v>
      </c>
    </row>
    <row r="8">
      <c r="A8">
        <f>HYPERLINK("https://www.linkedin.com/jobs/view/strategy-and-operations-manager-ads-marketing-at-google-4125534274?position=2&amp;pageNum=0&amp;refId=Q5YKPP3UuCxd%2FsVNQwRdzQ%3D%3D&amp;trackingId=pHBtFFOIYcPc0TBUTBdqlQ%3D%3D", "Strategy and Operations Manager, Ads Marketing")</f>
        <v/>
      </c>
      <c r="B8" t="inlineStr">
        <is>
          <t>Google</t>
        </is>
      </c>
      <c r="C8" t="inlineStr">
        <is>
          <t>San Francisco, CA</t>
        </is>
      </c>
      <c r="D8" t="inlineStr">
        <is>
          <t xml:space="preserve"> 2 </t>
        </is>
      </c>
      <c r="E8" t="inlineStr">
        <is>
          <t>yes</t>
        </is>
      </c>
      <c r="F8" t="n">
        <v>0.33</v>
      </c>
    </row>
    <row r="9">
      <c r="A9">
        <f>HYPERLINK("https://www.linkedin.com/jobs/view/global-strategy-and-operations-manager-marketing-at-google-4143155425?position=3&amp;pageNum=0&amp;refId=Q5YKPP3UuCxd%2FsVNQwRdzQ%3D%3D&amp;trackingId=VhD%2B0UG9jnOFVhXmxOK3Jw%3D%3D", "Global Strategy and Operations Manager, Marketing")</f>
        <v/>
      </c>
      <c r="B9" t="inlineStr">
        <is>
          <t>Google</t>
        </is>
      </c>
      <c r="C9" t="inlineStr">
        <is>
          <t>Mountain View, CA</t>
        </is>
      </c>
      <c r="D9" t="inlineStr">
        <is>
          <t xml:space="preserve"> 2 </t>
        </is>
      </c>
      <c r="E9" t="inlineStr">
        <is>
          <t>yes</t>
        </is>
      </c>
      <c r="F9" t="n">
        <v>0.33</v>
      </c>
    </row>
    <row r="10">
      <c r="A10">
        <f>HYPERLINK("https://www.linkedin.com/jobs/view/business-data-scientist-global-ads-marketing-data-solutions-at-google-4118993885?position=4&amp;pageNum=0&amp;refId=Q5YKPP3UuCxd%2FsVNQwRdzQ%3D%3D&amp;trackingId=lAkmULaB8xe7QN6%2FkahUqQ%3D%3D", "Business Data Scientist, Global Ads, Marketing, Data Solutions")</f>
        <v/>
      </c>
      <c r="B10" t="inlineStr">
        <is>
          <t>Google</t>
        </is>
      </c>
      <c r="C10" t="inlineStr">
        <is>
          <t>Los Angeles, CA</t>
        </is>
      </c>
      <c r="D10" t="inlineStr">
        <is>
          <t xml:space="preserve"> 2 </t>
        </is>
      </c>
      <c r="E10" t="inlineStr">
        <is>
          <t>yes</t>
        </is>
      </c>
      <c r="F10" t="n">
        <v>0.33</v>
      </c>
    </row>
    <row r="11">
      <c r="A11">
        <f>HYPERLINK("https://www.linkedin.com/jobs/view/senior-growth-marketing-manager-google-career-certificates-at-google-4144967630?position=8&amp;pageNum=0&amp;refId=Q5YKPP3UuCxd%2FsVNQwRdzQ%3D%3D&amp;trackingId=vQ9A4oG1VWsI%2BbtZctuazA%3D%3D", "Senior Growth Marketing Manager, Google Career Certificates")</f>
        <v/>
      </c>
      <c r="B11" t="inlineStr">
        <is>
          <t>Google</t>
        </is>
      </c>
      <c r="C11" t="inlineStr">
        <is>
          <t>Mountain View, CA</t>
        </is>
      </c>
      <c r="D11" t="inlineStr">
        <is>
          <t xml:space="preserve"> 2 </t>
        </is>
      </c>
      <c r="E11" t="inlineStr">
        <is>
          <t>yes</t>
        </is>
      </c>
      <c r="F11" t="n">
        <v>0.33</v>
      </c>
    </row>
    <row r="12">
      <c r="A12">
        <f>HYPERLINK("https://www.linkedin.com/jobs/view/senior-growth-marketing-manager-google-career-certificates-at-google-4144965959?position=14&amp;pageNum=0&amp;refId=Q5YKPP3UuCxd%2FsVNQwRdzQ%3D%3D&amp;trackingId=dficcam0%2BWxsDwusN9KvHw%3D%3D", "Senior Growth Marketing Manager, Google Career Certificates")</f>
        <v/>
      </c>
      <c r="B12" t="inlineStr">
        <is>
          <t>Google</t>
        </is>
      </c>
      <c r="C12" t="inlineStr">
        <is>
          <t>San Francisco, CA</t>
        </is>
      </c>
      <c r="D12" t="inlineStr">
        <is>
          <t xml:space="preserve"> 2 </t>
        </is>
      </c>
      <c r="E12" t="inlineStr">
        <is>
          <t>yes</t>
        </is>
      </c>
      <c r="F12" t="n">
        <v>0.33</v>
      </c>
    </row>
    <row r="13">
      <c r="A13">
        <f>HYPERLINK("https://www.linkedin.com/jobs/view/research-and-insights-manager-marketing-policy-responsibility-ai-at-google-4124884776?position=23&amp;pageNum=0&amp;refId=Q5YKPP3UuCxd%2FsVNQwRdzQ%3D%3D&amp;trackingId=b2JM8v7RAxknG%2FSRXdx1%2FA%3D%3D", "Research and Insights Manager, Marketing, Policy, Responsibility, AI")</f>
        <v/>
      </c>
      <c r="B13" t="inlineStr">
        <is>
          <t>Google</t>
        </is>
      </c>
      <c r="C13" t="inlineStr">
        <is>
          <t>San Francisco, CA</t>
        </is>
      </c>
      <c r="D13" t="inlineStr">
        <is>
          <t xml:space="preserve"> 2 </t>
        </is>
      </c>
      <c r="E13" t="inlineStr">
        <is>
          <t>yes</t>
        </is>
      </c>
      <c r="F13" t="n">
        <v>0.33</v>
      </c>
    </row>
    <row r="14">
      <c r="A14">
        <f>HYPERLINK("https://www.linkedin.com/jobs/view/customer-intelligence-manager-cloud-marketing-at-google-4143432405?position=42&amp;pageNum=0&amp;refId=Q5YKPP3UuCxd%2FsVNQwRdzQ%3D%3D&amp;trackingId=4qsuKdfueZyU32h1B3%2Fddg%3D%3D", "Customer Intelligence Manager, Cloud Marketing")</f>
        <v/>
      </c>
      <c r="B14" t="inlineStr">
        <is>
          <t>Google</t>
        </is>
      </c>
      <c r="C14" t="inlineStr">
        <is>
          <t>Sunnyvale, CA</t>
        </is>
      </c>
      <c r="D14" t="inlineStr">
        <is>
          <t xml:space="preserve"> 2 </t>
        </is>
      </c>
      <c r="E14" t="inlineStr">
        <is>
          <t>yes</t>
        </is>
      </c>
      <c r="F14" t="n">
        <v>0.33</v>
      </c>
    </row>
    <row r="15">
      <c r="A15">
        <f>HYPERLINK("https://www.linkedin.com/jobs/view/enterprise-account-executive-houston-market-at-jobs-via-dice-4142782078?position=8&amp;pageNum=0&amp;refId=lDzPee69FoqQMvRFPCRNdQ%3D%3D&amp;trackingId=BxcqkGXAnisJHELU7y2LCw%3D%3D", "Enterprise Account Executive (Houston Market)")</f>
        <v/>
      </c>
      <c r="B15" t="inlineStr">
        <is>
          <t>Jobs via Dice</t>
        </is>
      </c>
      <c r="C15" t="inlineStr">
        <is>
          <t>Texas, United States</t>
        </is>
      </c>
      <c r="D15" t="inlineStr">
        <is>
          <t>N/A</t>
        </is>
      </c>
      <c r="E15" t="inlineStr">
        <is>
          <t>No</t>
        </is>
      </c>
      <c r="F15" t="n">
        <v>0.17</v>
      </c>
    </row>
    <row r="16">
      <c r="A16">
        <f>HYPERLINK("https://www.linkedin.com/jobs/view/hr-generalist-hybrid-at-workrise-4122562305?position=17&amp;pageNum=0&amp;refId=FQq2j8rNs%2Fq59sEN9OhZiw%3D%3D&amp;trackingId=DuIe1Bw%2Fb116mtq%2BRLU6vw%3D%3D", "HR Generalist (Hybrid)")</f>
        <v/>
      </c>
      <c r="B16" t="inlineStr">
        <is>
          <t>Workrise</t>
        </is>
      </c>
      <c r="C16" t="inlineStr">
        <is>
          <t>Austin, Texas Metropolitan Area</t>
        </is>
      </c>
      <c r="D16" t="inlineStr">
        <is>
          <t>N/A</t>
        </is>
      </c>
      <c r="E16" t="inlineStr">
        <is>
          <t>No</t>
        </is>
      </c>
      <c r="F16" t="n">
        <v>0.17</v>
      </c>
    </row>
    <row r="17">
      <c r="A17">
        <f>HYPERLINK("https://www.linkedin.com/jobs/view/lead-data-analyst-operations-fulfillment-at-hims-hers-4130606396?position=18&amp;pageNum=0&amp;refId=FQq2j8rNs%2Fq59sEN9OhZiw%3D%3D&amp;trackingId=CsM7dUx854pIIL9O1jnBMg%3D%3D", "Lead Data Analyst, Operations &amp; Fulfillment")</f>
        <v/>
      </c>
      <c r="B17" t="inlineStr">
        <is>
          <t>hims &amp; hers</t>
        </is>
      </c>
      <c r="C17" t="inlineStr">
        <is>
          <t>Austin, Texas Metropolitan Area</t>
        </is>
      </c>
      <c r="D17" t="inlineStr">
        <is>
          <t>N/A</t>
        </is>
      </c>
      <c r="E17" t="inlineStr">
        <is>
          <t>No</t>
        </is>
      </c>
      <c r="F17" t="n">
        <v>0.17</v>
      </c>
    </row>
    <row r="18">
      <c r="A18">
        <f>HYPERLINK("https://www.linkedin.com/jobs/view/senior-procurement-formulary-manager-at-alto-pharmacy-4111465242?position=19&amp;pageNum=0&amp;refId=FQq2j8rNs%2Fq59sEN9OhZiw%3D%3D&amp;trackingId=IzrgOHN6bA34Bhfya50ugQ%3D%3D", "Senior Procurement Formulary Manager")</f>
        <v/>
      </c>
      <c r="B18" t="inlineStr">
        <is>
          <t>Alto Pharmacy</t>
        </is>
      </c>
      <c r="C18" t="inlineStr">
        <is>
          <t>Texas, United States</t>
        </is>
      </c>
      <c r="D18" t="inlineStr">
        <is>
          <t xml:space="preserve"> 2 </t>
        </is>
      </c>
      <c r="E18" t="inlineStr">
        <is>
          <t>yes</t>
        </is>
      </c>
      <c r="F18" t="n">
        <v>0.17</v>
      </c>
    </row>
    <row r="19">
      <c r="A19">
        <f>HYPERLINK("https://www.linkedin.com/jobs/view/operations-vendor-success-intern-at-workrise-4140001154?position=23&amp;pageNum=0&amp;refId=FQq2j8rNs%2Fq59sEN9OhZiw%3D%3D&amp;trackingId=d2mu8yUEPupE0EyWXa5AIQ%3D%3D", "Operations, Vendor Success Intern")</f>
        <v/>
      </c>
      <c r="B19" t="inlineStr">
        <is>
          <t>Workrise</t>
        </is>
      </c>
      <c r="C19" t="inlineStr">
        <is>
          <t>Austin, Texas Metropolitan Area</t>
        </is>
      </c>
      <c r="D19" t="inlineStr">
        <is>
          <t>N/A</t>
        </is>
      </c>
      <c r="E19" t="inlineStr">
        <is>
          <t>No</t>
        </is>
      </c>
      <c r="F19" t="n">
        <v>0.17</v>
      </c>
    </row>
    <row r="20">
      <c r="A20">
        <f>HYPERLINK("https://www.linkedin.com/jobs/view/it-support-engineering-intern-at-workrise-4142558276?position=24&amp;pageNum=0&amp;refId=FQq2j8rNs%2Fq59sEN9OhZiw%3D%3D&amp;trackingId=Se0vdE1ZuJDzELUfWrm99g%3D%3D", "IT Support Engineering Intern")</f>
        <v/>
      </c>
      <c r="B20" t="inlineStr">
        <is>
          <t>Workrise</t>
        </is>
      </c>
      <c r="C20" t="inlineStr">
        <is>
          <t>Austin, Texas Metropolitan Area</t>
        </is>
      </c>
      <c r="D20" t="inlineStr">
        <is>
          <t>N/A</t>
        </is>
      </c>
      <c r="E20" t="inlineStr">
        <is>
          <t>No</t>
        </is>
      </c>
      <c r="F20" t="n">
        <v>0.17</v>
      </c>
    </row>
    <row r="21">
      <c r="A21">
        <f>HYPERLINK("https://www.linkedin.com/jobs/view/senior-revenue-operations-analyst-at-workrise-4091411566?position=26&amp;pageNum=0&amp;refId=FQq2j8rNs%2Fq59sEN9OhZiw%3D%3D&amp;trackingId=Qo7v6EOewLJh%2Fk%2Fxq54t3w%3D%3D", "Senior Revenue Operations Analyst")</f>
        <v/>
      </c>
      <c r="B21" t="inlineStr">
        <is>
          <t>Workrise</t>
        </is>
      </c>
      <c r="C21" t="inlineStr">
        <is>
          <t>Austin, Texas Metropolitan Area</t>
        </is>
      </c>
      <c r="D21" t="inlineStr">
        <is>
          <t>N/A</t>
        </is>
      </c>
      <c r="E21" t="inlineStr">
        <is>
          <t>No</t>
        </is>
      </c>
      <c r="F21" t="n">
        <v>0.17</v>
      </c>
    </row>
    <row r="22">
      <c r="A22">
        <f>HYPERLINK("https://www.linkedin.com/jobs/view/sales-content-specialist-at-workrise-4094975450?position=29&amp;pageNum=0&amp;refId=FQq2j8rNs%2Fq59sEN9OhZiw%3D%3D&amp;trackingId=Wemt%2Bf8EjacFaIMI8TE%2BPA%3D%3D", "Sales Content Specialist")</f>
        <v/>
      </c>
      <c r="B22" t="inlineStr">
        <is>
          <t>Workrise</t>
        </is>
      </c>
      <c r="C22" t="inlineStr">
        <is>
          <t>Austin, Texas Metropolitan Area</t>
        </is>
      </c>
      <c r="D22" t="inlineStr">
        <is>
          <t>N/A</t>
        </is>
      </c>
      <c r="E22" t="inlineStr">
        <is>
          <t>No</t>
        </is>
      </c>
      <c r="F22" t="n">
        <v>0.17</v>
      </c>
    </row>
    <row r="23">
      <c r="A23">
        <f>HYPERLINK("https://www.linkedin.com/jobs/view/junior-customer-success-manager-enterprise-customers-at-alto-pharmacy-4119491978?position=32&amp;pageNum=0&amp;refId=FQq2j8rNs%2Fq59sEN9OhZiw%3D%3D&amp;trackingId=GukrYvPhlqGDI%2BgQM%2Fljiw%3D%3D", "Junior Customer Success Manager - Enterprise Customers")</f>
        <v/>
      </c>
      <c r="B23" t="inlineStr">
        <is>
          <t>Alto Pharmacy</t>
        </is>
      </c>
      <c r="C23" t="inlineStr">
        <is>
          <t>Texas, United States</t>
        </is>
      </c>
      <c r="D23" t="inlineStr">
        <is>
          <t xml:space="preserve"> 2 </t>
        </is>
      </c>
      <c r="E23" t="inlineStr">
        <is>
          <t>yes</t>
        </is>
      </c>
      <c r="F23" t="n">
        <v>0.17</v>
      </c>
    </row>
    <row r="24">
      <c r="A24">
        <f>HYPERLINK("https://www.linkedin.com/jobs/view/human-resources-intern-at-workrise-4139793195?position=43&amp;pageNum=0&amp;refId=FQq2j8rNs%2Fq59sEN9OhZiw%3D%3D&amp;trackingId=03J3AlP3izp6nHFChkLzmA%3D%3D", "Human Resources Intern")</f>
        <v/>
      </c>
      <c r="B24" t="inlineStr">
        <is>
          <t>Workrise</t>
        </is>
      </c>
      <c r="C24" t="inlineStr">
        <is>
          <t>Austin, Texas Metropolitan Area</t>
        </is>
      </c>
      <c r="D24" t="inlineStr">
        <is>
          <t>N/A</t>
        </is>
      </c>
      <c r="E24" t="inlineStr">
        <is>
          <t>No</t>
        </is>
      </c>
      <c r="F24" t="n">
        <v>0.17</v>
      </c>
    </row>
    <row r="25">
      <c r="A25">
        <f>HYPERLINK("https://www.linkedin.com/jobs/view/global-programmatic-media-consultant-at-dell-technologies-4146053768?position=1&amp;pageNum=0&amp;refId=lDzPee69FoqQMvRFPCRNdQ%3D%3D&amp;trackingId=2zrSZr0je2a2Ysd%2BbALPAQ%3D%3D", "Global Programmatic Media Consultant")</f>
        <v/>
      </c>
      <c r="B25" t="inlineStr">
        <is>
          <t>Dell Technologies</t>
        </is>
      </c>
      <c r="C25" t="inlineStr">
        <is>
          <t>Round Rock, TX</t>
        </is>
      </c>
      <c r="D25" t="inlineStr">
        <is>
          <t xml:space="preserve"> 5 </t>
        </is>
      </c>
      <c r="E25" t="inlineStr">
        <is>
          <t>yes</t>
        </is>
      </c>
      <c r="F25" t="n">
        <v>0.165</v>
      </c>
    </row>
    <row r="26">
      <c r="A26">
        <f>HYPERLINK("https://www.linkedin.com/jobs/view/remote-global-channel-marketing-lead-wfh-at-get-it-executive-4134850050?position=1&amp;pageNum=0&amp;refId=4cJJphxSfuA%2FkuDUr4W5rQ%3D%3D&amp;trackingId=Gji6vdX2LLPLmKi8drMqXA%3D%3D", "Remote Global Channel Marketing Lead | WFH")</f>
        <v/>
      </c>
      <c r="B26" t="inlineStr">
        <is>
          <t>Get It - Executive</t>
        </is>
      </c>
      <c r="C26" t="inlineStr">
        <is>
          <t>San Jose, CA</t>
        </is>
      </c>
      <c r="D26" t="inlineStr">
        <is>
          <t xml:space="preserve"> 2 </t>
        </is>
      </c>
      <c r="E26" t="inlineStr">
        <is>
          <t>yes</t>
        </is>
      </c>
      <c r="F26" t="n">
        <v>0.165</v>
      </c>
    </row>
    <row r="27">
      <c r="A27">
        <f>HYPERLINK("https://www.linkedin.com/jobs/view/sales-marketing-advanced-resource-training-smart-at-westlake-financial-4136234975?position=3&amp;pageNum=0&amp;refId=4cJJphxSfuA%2FkuDUr4W5rQ%3D%3D&amp;trackingId=4XVOArNClT%2FPDd1LvH256g%3D%3D", "Sales Marketing Advanced Resource Training (SMART)")</f>
        <v/>
      </c>
      <c r="B27" t="inlineStr">
        <is>
          <t>Westlake Financial</t>
        </is>
      </c>
      <c r="C27" t="inlineStr">
        <is>
          <t>Los Angeles, CA</t>
        </is>
      </c>
      <c r="D27" t="inlineStr">
        <is>
          <t xml:space="preserve"> 1 </t>
        </is>
      </c>
      <c r="E27" t="inlineStr">
        <is>
          <t>yes</t>
        </is>
      </c>
      <c r="F27" t="n">
        <v>0.165</v>
      </c>
    </row>
    <row r="28">
      <c r="A28">
        <f>HYPERLINK("https://www.linkedin.com/jobs/view/sales-marketing-advanced-resource-training-smart-at-westlake-financial-4136236544?position=4&amp;pageNum=0&amp;refId=4cJJphxSfuA%2FkuDUr4W5rQ%3D%3D&amp;trackingId=CfIuozQj6tXPaePUmtQwgg%3D%3D", "Sales Marketing Advanced Resource Training (SMART)")</f>
        <v/>
      </c>
      <c r="B28" t="inlineStr">
        <is>
          <t>Westlake Financial</t>
        </is>
      </c>
      <c r="C28" t="inlineStr">
        <is>
          <t>Agoura Hills, CA</t>
        </is>
      </c>
      <c r="D28" t="inlineStr">
        <is>
          <t xml:space="preserve"> 1 </t>
        </is>
      </c>
      <c r="E28" t="inlineStr">
        <is>
          <t>yes</t>
        </is>
      </c>
      <c r="F28" t="n">
        <v>0.165</v>
      </c>
    </row>
    <row r="29">
      <c r="A29">
        <f>HYPERLINK("https://www.linkedin.com/jobs/view/senior-analyst-new-product-introduction-at-google-4130091053?position=4&amp;pageNum=0&amp;refId=FQq2j8rNs%2Fq59sEN9OhZiw%3D%3D&amp;trackingId=V34r0FJztK5vbQuaGJXvcQ%3D%3D", "Senior Analyst, New Product Introduction")</f>
        <v/>
      </c>
      <c r="B29" t="inlineStr">
        <is>
          <t>Google</t>
        </is>
      </c>
      <c r="C29" t="inlineStr">
        <is>
          <t>Austin, TX</t>
        </is>
      </c>
      <c r="D29" t="inlineStr">
        <is>
          <t xml:space="preserve"> 2 </t>
        </is>
      </c>
      <c r="E29" t="inlineStr">
        <is>
          <t>yes</t>
        </is>
      </c>
      <c r="F29" t="n">
        <v>0.165</v>
      </c>
    </row>
    <row r="30">
      <c r="A30">
        <f>HYPERLINK("https://www.linkedin.com/jobs/view/program-manager-iii-reverse-logistics-repair-operations-at-google-4137491148?position=6&amp;pageNum=0&amp;refId=FQq2j8rNs%2Fq59sEN9OhZiw%3D%3D&amp;trackingId=ffcLqq5PLrR4Zok97MmwJQ%3D%3D", "Program Manager III, Reverse Logistics, Repair Operations")</f>
        <v/>
      </c>
      <c r="B30" t="inlineStr">
        <is>
          <t>Google</t>
        </is>
      </c>
      <c r="C30" t="inlineStr">
        <is>
          <t>Addison, TX</t>
        </is>
      </c>
      <c r="D30" t="inlineStr">
        <is>
          <t xml:space="preserve"> 2 </t>
        </is>
      </c>
      <c r="E30" t="inlineStr">
        <is>
          <t>yes</t>
        </is>
      </c>
      <c r="F30" t="n">
        <v>0.165</v>
      </c>
    </row>
    <row r="31">
      <c r="A31">
        <f>HYPERLINK("https://www.linkedin.com/jobs/view/technical-program-manager-ii-data-analytics-google-cloud-at-google-4141955435?position=7&amp;pageNum=0&amp;refId=FQq2j8rNs%2Fq59sEN9OhZiw%3D%3D&amp;trackingId=%2BBjpeNOOQ%2BlRnmI197LgDw%3D%3D", "Technical Program Manager II, Data Analytics, Google Cloud")</f>
        <v/>
      </c>
      <c r="B31" t="inlineStr">
        <is>
          <t>Google</t>
        </is>
      </c>
      <c r="C31" t="inlineStr">
        <is>
          <t>Addison, TX</t>
        </is>
      </c>
      <c r="D31" t="inlineStr">
        <is>
          <t xml:space="preserve"> 2 </t>
        </is>
      </c>
      <c r="E31" t="inlineStr">
        <is>
          <t>yes</t>
        </is>
      </c>
      <c r="F31" t="n">
        <v>0.165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2025-02-06T20:20:10Z</dcterms:created>
  <dcterms:modified xmlns:dcterms="http://purl.org/dc/terms/" xmlns:xsi="http://www.w3.org/2001/XMLSchema-instance" xsi:type="dcterms:W3CDTF">2025-02-06T20:20:10Z</dcterms:modified>
</cp:coreProperties>
</file>