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>
    <definedName name="_xlnm._FilterDatabase" localSheetId="0" hidden="1">'Job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H1b Approval 2024</t>
        </is>
      </c>
      <c r="E1" t="inlineStr">
        <is>
          <t>H1b Sponsor</t>
        </is>
      </c>
      <c r="F1" t="inlineStr">
        <is>
          <t>Score</t>
        </is>
      </c>
    </row>
    <row r="2">
      <c r="A2">
        <f>HYPERLINK("https://www.linkedin.com/jobs/view/technical-account-manager-at-commvault-4123708505?position=5&amp;pageNum=0&amp;refId=EODDUkGol8QK%2B6SvhcdHaw%3D%3D&amp;trackingId=VMMyuHHoMsSF%2FbpJvkdjlw%3D%3D", "Technical Account Manager")</f>
        <v/>
      </c>
      <c r="B2" t="inlineStr">
        <is>
          <t>Commvault</t>
        </is>
      </c>
      <c r="C2" t="inlineStr">
        <is>
          <t>Texas, United States</t>
        </is>
      </c>
      <c r="D2" t="inlineStr">
        <is>
          <t xml:space="preserve"> 1 </t>
        </is>
      </c>
      <c r="E2" t="inlineStr">
        <is>
          <t>yes</t>
        </is>
      </c>
      <c r="F2" t="n">
        <v>0.17</v>
      </c>
    </row>
    <row r="3">
      <c r="A3">
        <f>HYPERLINK("https://www.linkedin.com/jobs/view/supply-chain-specialist-logistics-at-nevados-4124170946?position=2&amp;pageNum=0&amp;refId=1iv3sRK1rrYJRNriUKO69Q%3D%3D&amp;trackingId=1C52Km9nJn09%2FxWCwYVfqA%3D%3D", "Supply Chain Specialist, Logistics")</f>
        <v/>
      </c>
      <c r="B3" t="inlineStr">
        <is>
          <t>Nevados</t>
        </is>
      </c>
      <c r="C3" t="inlineStr">
        <is>
          <t>California, United States</t>
        </is>
      </c>
      <c r="D3" t="inlineStr">
        <is>
          <t>N/A</t>
        </is>
      </c>
      <c r="E3" t="inlineStr">
        <is>
          <t>No</t>
        </is>
      </c>
      <c r="F3" t="n">
        <v>0.17</v>
      </c>
    </row>
    <row r="4">
      <c r="A4">
        <f>HYPERLINK("https://www.linkedin.com/jobs/view/regional-director-of-operations-south-region-at-supply-technologies-4128405699?position=8&amp;pageNum=0&amp;refId=BB6uY3csNtT1h2eeAVexQA%3D%3D&amp;trackingId=S1CX3VRv9%2FELVUtZAQXj0g%3D%3D", "Regional Director of Operations (South Region)")</f>
        <v/>
      </c>
      <c r="B4" t="inlineStr">
        <is>
          <t>Supply Technologies</t>
        </is>
      </c>
      <c r="C4" t="inlineStr">
        <is>
          <t>Austin, Texas Metropolitan Area</t>
        </is>
      </c>
      <c r="D4" t="inlineStr">
        <is>
          <t xml:space="preserve"> 2 </t>
        </is>
      </c>
      <c r="E4" t="inlineStr">
        <is>
          <t>yes</t>
        </is>
      </c>
      <c r="F4" t="n">
        <v>0.17</v>
      </c>
    </row>
    <row r="5">
      <c r="A5">
        <f>HYPERLINK("https://www.linkedin.com/jobs/view/executive-director-latam-market-development-at-the-college-board-4077765968?position=10&amp;pageNum=0&amp;refId=BB6uY3csNtT1h2eeAVexQA%3D%3D&amp;trackingId=m0v%2BXqVvamoMfrkbFFsrUw%3D%3D", "Executive Director, LATAM Market Development")</f>
        <v/>
      </c>
      <c r="B5" t="inlineStr">
        <is>
          <t>The College Board</t>
        </is>
      </c>
      <c r="C5" t="inlineStr">
        <is>
          <t>Texas, United States</t>
        </is>
      </c>
      <c r="D5" t="inlineStr">
        <is>
          <t xml:space="preserve"> 5 </t>
        </is>
      </c>
      <c r="E5" t="inlineStr">
        <is>
          <t>yes</t>
        </is>
      </c>
      <c r="F5" t="n">
        <v>0.17</v>
      </c>
    </row>
    <row r="6">
      <c r="A6">
        <f>HYPERLINK("https://www.linkedin.com/jobs/view/production-superintendent-at-linde-4143433298?position=23&amp;pageNum=0&amp;refId=BB6uY3csNtT1h2eeAVexQA%3D%3D&amp;trackingId=vrjMmM4zzTAqp5a1MjZ3kQ%3D%3D", "Production Superintendent")</f>
        <v/>
      </c>
      <c r="B6" t="inlineStr">
        <is>
          <t>Linde</t>
        </is>
      </c>
      <c r="C6" t="inlineStr">
        <is>
          <t>Texas City, TX</t>
        </is>
      </c>
      <c r="D6" t="inlineStr">
        <is>
          <t xml:space="preserve"> 4 </t>
        </is>
      </c>
      <c r="E6" t="inlineStr">
        <is>
          <t>yes</t>
        </is>
      </c>
      <c r="F6" t="n">
        <v>0.17</v>
      </c>
    </row>
    <row r="7">
      <c r="A7">
        <f>HYPERLINK("https://www.linkedin.com/jobs/view/2025-intern-e2e-product-management-at-adobe-4057303529?position=1&amp;pageNum=0&amp;refId=lPQVExDSWU6HMzcokADwGg%3D%3D&amp;trackingId=JnbmKWcYOtOxPO0WG6Y%2Bag%3D%3D", "2025 Intern - E2E Product Management")</f>
        <v/>
      </c>
      <c r="B7" t="inlineStr">
        <is>
          <t>Adobe</t>
        </is>
      </c>
      <c r="C7" t="inlineStr">
        <is>
          <t>San Francisco, CA</t>
        </is>
      </c>
      <c r="D7" t="inlineStr">
        <is>
          <t xml:space="preserve"> 1 </t>
        </is>
      </c>
      <c r="E7" t="inlineStr">
        <is>
          <t>yes</t>
        </is>
      </c>
      <c r="F7" t="n">
        <v>0.165</v>
      </c>
    </row>
    <row r="8">
      <c r="A8">
        <f>HYPERLINK("https://www.linkedin.com/jobs/view/2025-intern-e2e-product-management-at-adobe-4057303528?position=2&amp;pageNum=0&amp;refId=lPQVExDSWU6HMzcokADwGg%3D%3D&amp;trackingId=6H1yw3zjzblDjpA4eGFAoQ%3D%3D", "2025 Intern - E2E Product Management")</f>
        <v/>
      </c>
      <c r="B8" t="inlineStr">
        <is>
          <t>Adobe</t>
        </is>
      </c>
      <c r="C8" t="inlineStr">
        <is>
          <t>San Jose, CA</t>
        </is>
      </c>
      <c r="D8" t="inlineStr">
        <is>
          <t xml:space="preserve"> 1 </t>
        </is>
      </c>
      <c r="E8" t="inlineStr">
        <is>
          <t>yes</t>
        </is>
      </c>
      <c r="F8" t="n">
        <v>0.165</v>
      </c>
    </row>
    <row r="9">
      <c r="A9">
        <f>HYPERLINK("https://www.linkedin.com/jobs/view/longo-toyota-of-prosper-sales-portfolio-consultant-at-penske-motor-group-4055544341?position=1&amp;pageNum=0&amp;refId=EODDUkGol8QK%2B6SvhcdHaw%3D%3D&amp;trackingId=%2B%2BxpGad%2FKnrbEzObAnP%2BAg%3D%3D", "Longo Toyota of Prosper Sales Portfolio Consultant")</f>
        <v/>
      </c>
      <c r="B9" t="inlineStr">
        <is>
          <t>Penske Motor Group</t>
        </is>
      </c>
      <c r="C9" t="inlineStr">
        <is>
          <t>Prosper, TX</t>
        </is>
      </c>
      <c r="D9" t="inlineStr">
        <is>
          <t xml:space="preserve"> 2 </t>
        </is>
      </c>
      <c r="E9" t="inlineStr">
        <is>
          <t>yes</t>
        </is>
      </c>
      <c r="F9" t="n">
        <v>0</v>
      </c>
    </row>
    <row r="10">
      <c r="A10">
        <f>HYPERLINK("https://www.linkedin.com/jobs/view/compliance-senior-manager-at-westlake-financial-4142536857?position=2&amp;pageNum=0&amp;refId=EODDUkGol8QK%2B6SvhcdHaw%3D%3D&amp;trackingId=6x8ojO6mVxQ5hHgGvZo22A%3D%3D", "Compliance Senior Manager")</f>
        <v/>
      </c>
      <c r="B10" t="inlineStr">
        <is>
          <t>Westlake Financial</t>
        </is>
      </c>
      <c r="C10" t="inlineStr">
        <is>
          <t>Dallas, TX</t>
        </is>
      </c>
      <c r="D10" t="inlineStr">
        <is>
          <t xml:space="preserve"> 1 </t>
        </is>
      </c>
      <c r="E10" t="inlineStr">
        <is>
          <t>yes</t>
        </is>
      </c>
      <c r="F10" t="n">
        <v>0</v>
      </c>
    </row>
    <row r="11">
      <c r="A11">
        <f>HYPERLINK("https://www.linkedin.com/jobs/view/technical-documentation-manager-at-apkudo-4141457366?position=3&amp;pageNum=0&amp;refId=EODDUkGol8QK%2B6SvhcdHaw%3D%3D&amp;trackingId=2pXjIVYQNLk4fRtYvg5k4A%3D%3D", "Technical Documentation Manager")</f>
        <v/>
      </c>
      <c r="B11" t="inlineStr">
        <is>
          <t>Apkudo</t>
        </is>
      </c>
      <c r="C11" t="inlineStr">
        <is>
          <t>Dallas, TX</t>
        </is>
      </c>
      <c r="D11" t="inlineStr">
        <is>
          <t xml:space="preserve"> 4 </t>
        </is>
      </c>
      <c r="E11" t="inlineStr">
        <is>
          <t>yes</t>
        </is>
      </c>
      <c r="F11" t="n">
        <v>0</v>
      </c>
    </row>
    <row r="12">
      <c r="A12">
        <f>HYPERLINK("https://www.linkedin.com/jobs/view/dealer-account-manager-at-westlake-financial-4136241077?position=4&amp;pageNum=0&amp;refId=EODDUkGol8QK%2B6SvhcdHaw%3D%3D&amp;trackingId=09Sw6pBs0Daqs%2FjQcT5X%2BQ%3D%3D", "Dealer Account Manager")</f>
        <v/>
      </c>
      <c r="B12" t="inlineStr">
        <is>
          <t>Westlake Financial</t>
        </is>
      </c>
      <c r="C12" t="inlineStr">
        <is>
          <t>Dallas, TX</t>
        </is>
      </c>
      <c r="D12" t="inlineStr">
        <is>
          <t xml:space="preserve"> 1 </t>
        </is>
      </c>
      <c r="E12" t="inlineStr">
        <is>
          <t>yes</t>
        </is>
      </c>
      <c r="F12" t="n">
        <v>0</v>
      </c>
    </row>
    <row r="13">
      <c r="A13">
        <f>HYPERLINK("https://www.linkedin.com/jobs/view/dealer-account-manager-at-westlake-financial-4041093846?position=6&amp;pageNum=0&amp;refId=EODDUkGol8QK%2B6SvhcdHaw%3D%3D&amp;trackingId=4FpQyVcmJ9r6JROQ39pcew%3D%3D", "Dealer Account Manager")</f>
        <v/>
      </c>
      <c r="B13" t="inlineStr">
        <is>
          <t>Westlake Financial</t>
        </is>
      </c>
      <c r="C13" t="inlineStr">
        <is>
          <t>Houston, TX</t>
        </is>
      </c>
      <c r="D13" t="inlineStr">
        <is>
          <t xml:space="preserve"> 1 </t>
        </is>
      </c>
      <c r="E13" t="inlineStr">
        <is>
          <t>yes</t>
        </is>
      </c>
      <c r="F13" t="n">
        <v>0</v>
      </c>
    </row>
    <row r="14">
      <c r="A14">
        <f>HYPERLINK("https://www.linkedin.com/jobs/view/dealer-account-manager-at-westlake-financial-4111974862?position=7&amp;pageNum=0&amp;refId=EODDUkGol8QK%2B6SvhcdHaw%3D%3D&amp;trackingId=Mv3ob1UU10u7fWMp41TTaQ%3D%3D", "Dealer Account Manager")</f>
        <v/>
      </c>
      <c r="B14" t="inlineStr">
        <is>
          <t>Westlake Financial</t>
        </is>
      </c>
      <c r="C14" t="inlineStr">
        <is>
          <t>Dallas, TX</t>
        </is>
      </c>
      <c r="D14" t="inlineStr">
        <is>
          <t xml:space="preserve"> 1 </t>
        </is>
      </c>
      <c r="E14" t="inlineStr">
        <is>
          <t>yes</t>
        </is>
      </c>
      <c r="F14" t="n">
        <v>0</v>
      </c>
    </row>
    <row r="15">
      <c r="A15">
        <f>HYPERLINK("https://www.linkedin.com/jobs/view/dealer-account-manager-at-westlake-financial-4026096062?position=8&amp;pageNum=0&amp;refId=EODDUkGol8QK%2B6SvhcdHaw%3D%3D&amp;trackingId=XL23nzOcvZdXXhKIU%2FG4bQ%3D%3D", "Dealer Account Manager")</f>
        <v/>
      </c>
      <c r="B15" t="inlineStr">
        <is>
          <t>Westlake Financial</t>
        </is>
      </c>
      <c r="C15" t="inlineStr">
        <is>
          <t>Austin, TX</t>
        </is>
      </c>
      <c r="D15" t="inlineStr">
        <is>
          <t xml:space="preserve"> 1 </t>
        </is>
      </c>
      <c r="E15" t="inlineStr">
        <is>
          <t>yes</t>
        </is>
      </c>
      <c r="F15" t="n">
        <v>0</v>
      </c>
    </row>
    <row r="16">
      <c r="A16">
        <f>HYPERLINK("https://www.linkedin.com/jobs/view/dealer-account-manager-at-westlake-financial-4026095077?position=9&amp;pageNum=0&amp;refId=EODDUkGol8QK%2B6SvhcdHaw%3D%3D&amp;trackingId=crxtW6qMBYhoLKpXz8HYJg%3D%3D", "Dealer Account Manager")</f>
        <v/>
      </c>
      <c r="B16" t="inlineStr">
        <is>
          <t>Westlake Financial</t>
        </is>
      </c>
      <c r="C16" t="inlineStr">
        <is>
          <t>McAllen, TX</t>
        </is>
      </c>
      <c r="D16" t="inlineStr">
        <is>
          <t xml:space="preserve"> 1 </t>
        </is>
      </c>
      <c r="E16" t="inlineStr">
        <is>
          <t>yes</t>
        </is>
      </c>
      <c r="F16" t="n">
        <v>0</v>
      </c>
    </row>
    <row r="17">
      <c r="A17">
        <f>HYPERLINK("https://www.linkedin.com/jobs/view/dealer-account-manager-at-westlake-financial-4026092550?position=10&amp;pageNum=0&amp;refId=EODDUkGol8QK%2B6SvhcdHaw%3D%3D&amp;trackingId=dOfs829BgfTRgNYHigyyaw%3D%3D", "Dealer Account Manager")</f>
        <v/>
      </c>
      <c r="B17" t="inlineStr">
        <is>
          <t>Westlake Financial</t>
        </is>
      </c>
      <c r="C17" t="inlineStr">
        <is>
          <t>Corpus Christi, TX</t>
        </is>
      </c>
      <c r="D17" t="inlineStr">
        <is>
          <t xml:space="preserve"> 1 </t>
        </is>
      </c>
      <c r="E17" t="inlineStr">
        <is>
          <t>yes</t>
        </is>
      </c>
      <c r="F17" t="n">
        <v>0</v>
      </c>
    </row>
    <row r="18">
      <c r="A18">
        <f>HYPERLINK("https://www.linkedin.com/jobs/view/dealer-account-manager-at-westlake-financial-4081367143?position=11&amp;pageNum=0&amp;refId=EODDUkGol8QK%2B6SvhcdHaw%3D%3D&amp;trackingId=ZjNZ%2FmRGSXmu9%2FqHUPTFKw%3D%3D", "Dealer Account Manager")</f>
        <v/>
      </c>
      <c r="B18" t="inlineStr">
        <is>
          <t>Westlake Financial</t>
        </is>
      </c>
      <c r="C18" t="inlineStr">
        <is>
          <t>San Antonio, TX</t>
        </is>
      </c>
      <c r="D18" t="inlineStr">
        <is>
          <t xml:space="preserve"> 1 </t>
        </is>
      </c>
      <c r="E18" t="inlineStr">
        <is>
          <t>yes</t>
        </is>
      </c>
      <c r="F18" t="n">
        <v>0</v>
      </c>
    </row>
    <row r="19">
      <c r="A19">
        <f>HYPERLINK("https://www.linkedin.com/jobs/view/dealer-account-manager-at-westlake-financial-4018458982?position=12&amp;pageNum=0&amp;refId=EODDUkGol8QK%2B6SvhcdHaw%3D%3D&amp;trackingId=4jvR4KnFw%2BE1NxH8GbF5Lg%3D%3D", "Dealer Account Manager")</f>
        <v/>
      </c>
      <c r="B19" t="inlineStr">
        <is>
          <t>Westlake Financial</t>
        </is>
      </c>
      <c r="C19" t="inlineStr">
        <is>
          <t>Tyler, TX</t>
        </is>
      </c>
      <c r="D19" t="inlineStr">
        <is>
          <t xml:space="preserve"> 1 </t>
        </is>
      </c>
      <c r="E19" t="inlineStr">
        <is>
          <t>yes</t>
        </is>
      </c>
      <c r="F19" t="n">
        <v>0</v>
      </c>
    </row>
    <row r="20">
      <c r="A20">
        <f>HYPERLINK("https://www.linkedin.com/jobs/view/dealer-account-manager-at-westlake-financial-4081367144?position=13&amp;pageNum=0&amp;refId=EODDUkGol8QK%2B6SvhcdHaw%3D%3D&amp;trackingId=idYxXsLXsPlmlvS3kK2kmQ%3D%3D", "Dealer Account Manager")</f>
        <v/>
      </c>
      <c r="B20" t="inlineStr">
        <is>
          <t>Westlake Financial</t>
        </is>
      </c>
      <c r="C20" t="inlineStr">
        <is>
          <t>Laredo, TX</t>
        </is>
      </c>
      <c r="D20" t="inlineStr">
        <is>
          <t xml:space="preserve"> 1 </t>
        </is>
      </c>
      <c r="E20" t="inlineStr">
        <is>
          <t>yes</t>
        </is>
      </c>
      <c r="F20" t="n">
        <v>0</v>
      </c>
    </row>
    <row r="21">
      <c r="A21">
        <f>HYPERLINK("https://www.linkedin.com/jobs/view/dealer-account-manager-at-westlake-financial-4018460524?position=14&amp;pageNum=0&amp;refId=EODDUkGol8QK%2B6SvhcdHaw%3D%3D&amp;trackingId=ySA4%2FDqjAuWJyv0dwsvUgQ%3D%3D", "Dealer Account Manager")</f>
        <v/>
      </c>
      <c r="B21" t="inlineStr">
        <is>
          <t>Westlake Financial</t>
        </is>
      </c>
      <c r="C21" t="inlineStr">
        <is>
          <t>Canton, TX</t>
        </is>
      </c>
      <c r="D21" t="inlineStr">
        <is>
          <t xml:space="preserve"> 1 </t>
        </is>
      </c>
      <c r="E21" t="inlineStr">
        <is>
          <t>yes</t>
        </is>
      </c>
      <c r="F21" t="n">
        <v>0</v>
      </c>
    </row>
    <row r="22">
      <c r="A22">
        <f>HYPERLINK("https://www.linkedin.com/jobs/view/dealer-account-manager-at-westlake-financial-3981615402?position=15&amp;pageNum=0&amp;refId=EODDUkGol8QK%2B6SvhcdHaw%3D%3D&amp;trackingId=gJHX9UBcaleZNq%2BxfmV9Ww%3D%3D", "Dealer Account Manager")</f>
        <v/>
      </c>
      <c r="B22" t="inlineStr">
        <is>
          <t>Westlake Financial</t>
        </is>
      </c>
      <c r="C22" t="inlineStr">
        <is>
          <t>Dallas, TX</t>
        </is>
      </c>
      <c r="D22" t="inlineStr">
        <is>
          <t xml:space="preserve"> 1 </t>
        </is>
      </c>
      <c r="E22" t="inlineStr">
        <is>
          <t>yes</t>
        </is>
      </c>
      <c r="F22" t="n">
        <v>0</v>
      </c>
    </row>
    <row r="23">
      <c r="A23">
        <f>HYPERLINK("https://www.linkedin.com/jobs/view/msp-account-manager-at-it-goat-managed-it-service-provider-4138261782?position=16&amp;pageNum=0&amp;refId=EODDUkGol8QK%2B6SvhcdHaw%3D%3D&amp;trackingId=QYBGqF4bX%2FxN%2F%2B5bvVNJ0Q%3D%3D", "MSP Account Manager")</f>
        <v/>
      </c>
      <c r="B23" t="inlineStr">
        <is>
          <t>IT GOAT | Managed IT Service Provider</t>
        </is>
      </c>
      <c r="C23" t="inlineStr">
        <is>
          <t>Dallas, TX</t>
        </is>
      </c>
      <c r="D23" t="inlineStr">
        <is>
          <t xml:space="preserve"> 1 </t>
        </is>
      </c>
      <c r="E23" t="inlineStr">
        <is>
          <t>yes</t>
        </is>
      </c>
      <c r="F23" t="n">
        <v>0</v>
      </c>
    </row>
    <row r="24">
      <c r="A24">
        <f>HYPERLINK("https://www.linkedin.com/jobs/view/dealer-account-manager-at-westlake-financial-4018464077?position=17&amp;pageNum=0&amp;refId=EODDUkGol8QK%2B6SvhcdHaw%3D%3D&amp;trackingId=Iti1loHVOrWuCaXhZjZ3%2BA%3D%3D", "Dealer Account Manager")</f>
        <v/>
      </c>
      <c r="B24" t="inlineStr">
        <is>
          <t>Westlake Financial</t>
        </is>
      </c>
      <c r="C24" t="inlineStr">
        <is>
          <t>Mount Pleasant, TX</t>
        </is>
      </c>
      <c r="D24" t="inlineStr">
        <is>
          <t xml:space="preserve"> 1 </t>
        </is>
      </c>
      <c r="E24" t="inlineStr">
        <is>
          <t>yes</t>
        </is>
      </c>
      <c r="F24" t="n">
        <v>0</v>
      </c>
    </row>
    <row r="25">
      <c r="A25">
        <f>HYPERLINK("https://www.linkedin.com/jobs/view/longo-toyota-sales-portfolio-consultant-at-penske-motor-group-4063623313?position=1&amp;pageNum=0&amp;refId=S2zy3p2021Kxbf7NOLi7Yg%3D%3D&amp;trackingId=DEKbpF6mXrZDfPtNqCFvMQ%3D%3D", "Longo Toyota Sales Portfolio Consultant")</f>
        <v/>
      </c>
      <c r="B25" t="inlineStr">
        <is>
          <t>Penske Motor Group</t>
        </is>
      </c>
      <c r="C25" t="inlineStr">
        <is>
          <t>El Monte, CA</t>
        </is>
      </c>
      <c r="D25" t="inlineStr">
        <is>
          <t xml:space="preserve"> 2 </t>
        </is>
      </c>
      <c r="E25" t="inlineStr">
        <is>
          <t>yes</t>
        </is>
      </c>
      <c r="F25" t="n">
        <v>0</v>
      </c>
    </row>
    <row r="26">
      <c r="A26">
        <f>HYPERLINK("https://www.linkedin.com/jobs/view/longo-toyota-product-delivery-specialist-at-penske-motor-group-4132021770?position=2&amp;pageNum=0&amp;refId=S2zy3p2021Kxbf7NOLi7Yg%3D%3D&amp;trackingId=VOrpFlXi%2B6Y1tmuvK6flOw%3D%3D", "Longo Toyota Product &amp; Delivery Specialist")</f>
        <v/>
      </c>
      <c r="B26" t="inlineStr">
        <is>
          <t>Penske Motor Group</t>
        </is>
      </c>
      <c r="C26" t="inlineStr">
        <is>
          <t>El Monte, CA</t>
        </is>
      </c>
      <c r="D26" t="inlineStr">
        <is>
          <t xml:space="preserve"> 2 </t>
        </is>
      </c>
      <c r="E26" t="inlineStr">
        <is>
          <t>yes</t>
        </is>
      </c>
      <c r="F26" t="n">
        <v>0</v>
      </c>
    </row>
    <row r="27">
      <c r="A27">
        <f>HYPERLINK("https://www.linkedin.com/jobs/view/longo-lexus-product-delivery-specialist-at-penske-motor-group-4104215314?position=3&amp;pageNum=0&amp;refId=S2zy3p2021Kxbf7NOLi7Yg%3D%3D&amp;trackingId=USo%2BldDjq2FaOqKIVCXqZw%3D%3D", "Longo Lexus Product &amp; Delivery Specialist")</f>
        <v/>
      </c>
      <c r="B27" t="inlineStr">
        <is>
          <t>Penske Motor Group</t>
        </is>
      </c>
      <c r="C27" t="inlineStr">
        <is>
          <t>El Monte, CA</t>
        </is>
      </c>
      <c r="D27" t="inlineStr">
        <is>
          <t xml:space="preserve"> 2 </t>
        </is>
      </c>
      <c r="E27" t="inlineStr">
        <is>
          <t>yes</t>
        </is>
      </c>
      <c r="F27" t="n">
        <v>0</v>
      </c>
    </row>
    <row r="28">
      <c r="A28">
        <f>HYPERLINK("https://www.linkedin.com/jobs/view/remote-global-channel-marketing-lead-wfh-at-get-it-executive-4134850050?position=4&amp;pageNum=0&amp;refId=S2zy3p2021Kxbf7NOLi7Yg%3D%3D&amp;trackingId=7gVLXD3xlcJKo3W4i8dbhg%3D%3D", "Remote Global Channel Marketing Lead | WFH")</f>
        <v/>
      </c>
      <c r="B28" t="inlineStr">
        <is>
          <t>Get It - Executive</t>
        </is>
      </c>
      <c r="C28" t="inlineStr">
        <is>
          <t>San Jose, CA</t>
        </is>
      </c>
      <c r="D28" t="inlineStr">
        <is>
          <t xml:space="preserve"> 2 </t>
        </is>
      </c>
      <c r="E28" t="inlineStr">
        <is>
          <t>yes</t>
        </is>
      </c>
      <c r="F28" t="n">
        <v>0</v>
      </c>
    </row>
    <row r="29">
      <c r="A29">
        <f>HYPERLINK("https://www.linkedin.com/jobs/view/dealer-account-manager-at-westlake-financial-4052272710?position=5&amp;pageNum=0&amp;refId=S2zy3p2021Kxbf7NOLi7Yg%3D%3D&amp;trackingId=3DjASPw1ewbwQCBFBFUCvg%3D%3D", "Dealer Account Manager")</f>
        <v/>
      </c>
      <c r="B29" t="inlineStr">
        <is>
          <t>Westlake Financial</t>
        </is>
      </c>
      <c r="C29" t="inlineStr">
        <is>
          <t>Orange, CA</t>
        </is>
      </c>
      <c r="D29" t="inlineStr">
        <is>
          <t xml:space="preserve"> 1 </t>
        </is>
      </c>
      <c r="E29" t="inlineStr">
        <is>
          <t>yes</t>
        </is>
      </c>
      <c r="F29" t="n">
        <v>0</v>
      </c>
    </row>
    <row r="30">
      <c r="A30">
        <f>HYPERLINK("https://www.linkedin.com/jobs/view/dealer-account-manager-at-westlake-financial-4081039580?position=6&amp;pageNum=0&amp;refId=S2zy3p2021Kxbf7NOLi7Yg%3D%3D&amp;trackingId=sS25NRtO1jadvJWxp63%2FbQ%3D%3D", "Dealer Account Manager")</f>
        <v/>
      </c>
      <c r="B30" t="inlineStr">
        <is>
          <t>Westlake Financial</t>
        </is>
      </c>
      <c r="C30" t="inlineStr">
        <is>
          <t>Irvine, CA</t>
        </is>
      </c>
      <c r="D30" t="inlineStr">
        <is>
          <t xml:space="preserve"> 1 </t>
        </is>
      </c>
      <c r="E30" t="inlineStr">
        <is>
          <t>yes</t>
        </is>
      </c>
      <c r="F30" t="n">
        <v>0</v>
      </c>
    </row>
    <row r="31">
      <c r="A31">
        <f>HYPERLINK("https://www.linkedin.com/jobs/view/dealer-account-manager-at-westlake-financial-4081036905?position=7&amp;pageNum=0&amp;refId=S2zy3p2021Kxbf7NOLi7Yg%3D%3D&amp;trackingId=%2BK%2BNKRdhT5%2BxACN7mamDWA%3D%3D", "Dealer Account Manager")</f>
        <v/>
      </c>
      <c r="B31" t="inlineStr">
        <is>
          <t>Westlake Financial</t>
        </is>
      </c>
      <c r="C31" t="inlineStr">
        <is>
          <t>Riverside, CA</t>
        </is>
      </c>
      <c r="D31" t="inlineStr">
        <is>
          <t xml:space="preserve"> 1 </t>
        </is>
      </c>
      <c r="E31" t="inlineStr">
        <is>
          <t>yes</t>
        </is>
      </c>
      <c r="F31" t="n">
        <v>0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2025-02-06T20:10:46Z</dcterms:created>
  <dcterms:modified xmlns:dcterms="http://purl.org/dc/terms/" xmlns:xsi="http://www.w3.org/2001/XMLSchema-instance" xsi:type="dcterms:W3CDTF">2025-02-06T20:10:46Z</dcterms:modified>
</cp:coreProperties>
</file>