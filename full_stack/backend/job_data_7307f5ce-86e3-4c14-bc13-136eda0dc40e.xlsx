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HYPERLINK("https://www.linkedin.com/jobs/view/logistics-coordinator-iii-global-logistics-at-amazon-4128721127?position=1&amp;pageNum=0&amp;refId=AAxc4%2BvM%2FBkKOE0plSJ6%2BA%3D%3D&amp;trackingId=td%2F2ospRyMpdAXZQDH0J8Q%3D%3D", "Logistics Coordinator III, Global Logistics")</f>
        <v/>
      </c>
      <c r="B2" t="inlineStr">
        <is>
          <t>Amazon</t>
        </is>
      </c>
      <c r="C2" t="inlineStr">
        <is>
          <t>Austin, TX</t>
        </is>
      </c>
      <c r="D2" t="inlineStr">
        <is>
          <t>N/A</t>
        </is>
      </c>
      <c r="E2" t="inlineStr">
        <is>
          <t>No</t>
        </is>
      </c>
      <c r="F2" t="n">
        <v>0.3168</v>
      </c>
    </row>
    <row r="3">
      <c r="A3">
        <f>HYPERLINK("https://www.linkedin.com/jobs/view/supply-chain-manager-ii-amazon-business-operations-at-amazon-4143030483?position=2&amp;pageNum=0&amp;refId=AAxc4%2BvM%2FBkKOE0plSJ6%2BA%3D%3D&amp;trackingId=PMmS189zJ06pj%2BeAHEhe3w%3D%3D", "Supply Chain Manager II, Amazon Business - Operations")</f>
        <v/>
      </c>
      <c r="B3" t="inlineStr">
        <is>
          <t>Amazon</t>
        </is>
      </c>
      <c r="C3" t="inlineStr">
        <is>
          <t>Austin, TX</t>
        </is>
      </c>
      <c r="D3" t="inlineStr">
        <is>
          <t>N/A</t>
        </is>
      </c>
      <c r="E3" t="inlineStr">
        <is>
          <t>No</t>
        </is>
      </c>
      <c r="F3" t="n">
        <v>0.3168</v>
      </c>
    </row>
    <row r="4">
      <c r="A4">
        <f>HYPERLINK("https://www.linkedin.com/jobs/view/supply-chain-manager-sales-and-operations-planning-at-amazon-4131362677?position=3&amp;pageNum=0&amp;refId=AAxc4%2BvM%2FBkKOE0plSJ6%2BA%3D%3D&amp;trackingId=yn5vfpRzpFu9HdgRetP7qg%3D%3D", "Supply Chain Manager , Sales and Operations Planning")</f>
        <v/>
      </c>
      <c r="B4" t="inlineStr">
        <is>
          <t>Amazon</t>
        </is>
      </c>
      <c r="C4" t="inlineStr">
        <is>
          <t>Austin, TX</t>
        </is>
      </c>
      <c r="D4" t="inlineStr">
        <is>
          <t>N/A</t>
        </is>
      </c>
      <c r="E4" t="inlineStr">
        <is>
          <t>No</t>
        </is>
      </c>
      <c r="F4" t="n">
        <v>0.3168</v>
      </c>
    </row>
    <row r="5">
      <c r="A5">
        <f>HYPERLINK("https://www.linkedin.com/jobs/view/supply-chain-manager-sales-and-operations-planning-at-amazon-4131366349?position=1&amp;pageNum=0&amp;refId=S%2F6GbOg0PMcUqQsPqI7HPw%3D%3D&amp;trackingId=qC0XW0aGKLxualMHZYJknQ%3D%3D", "Supply Chain Manager , Sales and Operations Planning")</f>
        <v/>
      </c>
      <c r="B5" t="inlineStr">
        <is>
          <t>Amazon</t>
        </is>
      </c>
      <c r="C5" t="inlineStr">
        <is>
          <t>Santa Monica, CA</t>
        </is>
      </c>
      <c r="D5" t="inlineStr">
        <is>
          <t>N/A</t>
        </is>
      </c>
      <c r="E5" t="inlineStr">
        <is>
          <t>No</t>
        </is>
      </c>
      <c r="F5" t="n">
        <v>0.3168</v>
      </c>
    </row>
    <row r="6">
      <c r="A6">
        <f>HYPERLINK("https://www.linkedin.com/jobs/view/program-manager-ii-master-data-management-at-amazon-4138433899?position=1&amp;pageNum=0&amp;refId=GrUzpACpUrWq3zWaZPnMrw%3D%3D&amp;trackingId=4%2FyVJMVNeIg3G4n4xkRsbA%3D%3D", "Program Manager II, Master Data Management")</f>
        <v/>
      </c>
      <c r="B6" t="inlineStr">
        <is>
          <t>Amazon</t>
        </is>
      </c>
      <c r="C6" t="inlineStr">
        <is>
          <t>Austin, TX</t>
        </is>
      </c>
      <c r="D6" t="inlineStr">
        <is>
          <t>N/A</t>
        </is>
      </c>
      <c r="E6" t="inlineStr">
        <is>
          <t>No</t>
        </is>
      </c>
      <c r="F6" t="n">
        <v>0.3168</v>
      </c>
    </row>
    <row r="7">
      <c r="A7">
        <f>HYPERLINK("https://www.linkedin.com/jobs/view/program-manager-senior-reliability-maintenance-and-engineering-rme-planner-global-planning-team-at-amazon-4128210174?position=2&amp;pageNum=0&amp;refId=GrUzpACpUrWq3zWaZPnMrw%3D%3D&amp;trackingId=Yj6BNUIKB2V0wtLbCJlLRQ%3D%3D", "Program Manager- Senior Reliability, Maintenance, and Engineering (RME) Planner, Global Planning Team")</f>
        <v/>
      </c>
      <c r="B7" t="inlineStr">
        <is>
          <t>Amazon</t>
        </is>
      </c>
      <c r="C7" t="inlineStr">
        <is>
          <t>Austin, TX</t>
        </is>
      </c>
      <c r="D7" t="inlineStr">
        <is>
          <t>N/A</t>
        </is>
      </c>
      <c r="E7" t="inlineStr">
        <is>
          <t>No</t>
        </is>
      </c>
      <c r="F7" t="n">
        <v>0.3168</v>
      </c>
    </row>
    <row r="8">
      <c r="A8">
        <f>HYPERLINK("https://www.linkedin.com/jobs/view/sr-technical-program-manager-ots-delivery-software-engineering-servicenow-at-amazon-4126509003?position=3&amp;pageNum=0&amp;refId=GrUzpACpUrWq3zWaZPnMrw%3D%3D&amp;trackingId=qtxkLAkCCVMFFGkCW2b8gw%3D%3D", "Sr. Technical Program Manager, OTS Delivery Software Engineering, ServiceNow")</f>
        <v/>
      </c>
      <c r="B8" t="inlineStr">
        <is>
          <t>Amazon</t>
        </is>
      </c>
      <c r="C8" t="inlineStr">
        <is>
          <t>Austin, TX</t>
        </is>
      </c>
      <c r="D8" t="inlineStr">
        <is>
          <t>N/A</t>
        </is>
      </c>
      <c r="E8" t="inlineStr">
        <is>
          <t>No</t>
        </is>
      </c>
      <c r="F8" t="n">
        <v>0.3168</v>
      </c>
    </row>
    <row r="9">
      <c r="A9">
        <f>HYPERLINK("https://www.linkedin.com/jobs/view/software-development-manager-ots-delivery-software-engineering-at-amazon-4101576116?position=4&amp;pageNum=0&amp;refId=GrUzpACpUrWq3zWaZPnMrw%3D%3D&amp;trackingId=%2F4q2WZT9p3LSEaIBRU5HNQ%3D%3D", "Software Development Manager, OTS Delivery Software Engineering")</f>
        <v/>
      </c>
      <c r="B9" t="inlineStr">
        <is>
          <t>Amazon</t>
        </is>
      </c>
      <c r="C9" t="inlineStr">
        <is>
          <t>Austin, TX</t>
        </is>
      </c>
      <c r="D9" t="inlineStr">
        <is>
          <t>N/A</t>
        </is>
      </c>
      <c r="E9" t="inlineStr">
        <is>
          <t>No</t>
        </is>
      </c>
      <c r="F9" t="n">
        <v>0.3168</v>
      </c>
    </row>
    <row r="10">
      <c r="A10">
        <f>HYPERLINK("https://www.linkedin.com/jobs/view/business-analyst-payments-business-operations-pike-at-amazon-4137883339?position=5&amp;pageNum=0&amp;refId=GrUzpACpUrWq3zWaZPnMrw%3D%3D&amp;trackingId=PJ0FIc3c1Qitb3A6ageY6g%3D%3D", "Business Analyst, Payments Business Operations, PIKE")</f>
        <v/>
      </c>
      <c r="B10" t="inlineStr">
        <is>
          <t>Amazon</t>
        </is>
      </c>
      <c r="C10" t="inlineStr">
        <is>
          <t>Austin, TX</t>
        </is>
      </c>
      <c r="D10" t="inlineStr">
        <is>
          <t>N/A</t>
        </is>
      </c>
      <c r="E10" t="inlineStr">
        <is>
          <t>No</t>
        </is>
      </c>
      <c r="F10" t="n">
        <v>0.3168</v>
      </c>
    </row>
    <row r="11">
      <c r="A11">
        <f>HYPERLINK("https://www.linkedin.com/jobs/view/senior-product-manager-tech-customer-engagement-technologies-at-amazon-4064988051?position=6&amp;pageNum=0&amp;refId=GrUzpACpUrWq3zWaZPnMrw%3D%3D&amp;trackingId=T8f2hFOoshL87zLsOB3kQw%3D%3D", "Senior Product Manager - Tech, Customer Engagement Technologies")</f>
        <v/>
      </c>
      <c r="B11" t="inlineStr">
        <is>
          <t>Amazon</t>
        </is>
      </c>
      <c r="C11" t="inlineStr">
        <is>
          <t>Austin, TX</t>
        </is>
      </c>
      <c r="D11" t="inlineStr">
        <is>
          <t>N/A</t>
        </is>
      </c>
      <c r="E11" t="inlineStr">
        <is>
          <t>No</t>
        </is>
      </c>
      <c r="F11" t="n">
        <v>0.3168</v>
      </c>
    </row>
    <row r="12">
      <c r="A12">
        <f>HYPERLINK("https://www.linkedin.com/jobs/view/supply-chain-manager-ii-amazon-business-operations-at-amazon-4143030483?position=7&amp;pageNum=0&amp;refId=GrUzpACpUrWq3zWaZPnMrw%3D%3D&amp;trackingId=pcYicA%2FM9GUkzQfSAeiQ%2Fg%3D%3D", "Supply Chain Manager II, Amazon Business - Operations")</f>
        <v/>
      </c>
      <c r="B12" t="inlineStr">
        <is>
          <t>Amazon</t>
        </is>
      </c>
      <c r="C12" t="inlineStr">
        <is>
          <t>Austin, TX</t>
        </is>
      </c>
      <c r="D12" t="inlineStr">
        <is>
          <t>N/A</t>
        </is>
      </c>
      <c r="E12" t="inlineStr">
        <is>
          <t>No</t>
        </is>
      </c>
      <c r="F12" t="n">
        <v>0.3168</v>
      </c>
    </row>
    <row r="13">
      <c r="A13">
        <f>HYPERLINK("https://www.linkedin.com/jobs/view/ux-designer-amazon-customer-service-at-amazon-4138391486?position=8&amp;pageNum=0&amp;refId=GrUzpACpUrWq3zWaZPnMrw%3D%3D&amp;trackingId=3f3NGtCqFFMBLjwYRxr71w%3D%3D", "UX Designer, Amazon Customer Service")</f>
        <v/>
      </c>
      <c r="B13" t="inlineStr">
        <is>
          <t>Amazon</t>
        </is>
      </c>
      <c r="C13" t="inlineStr">
        <is>
          <t>Austin, TX</t>
        </is>
      </c>
      <c r="D13" t="inlineStr">
        <is>
          <t>N/A</t>
        </is>
      </c>
      <c r="E13" t="inlineStr">
        <is>
          <t>No</t>
        </is>
      </c>
      <c r="F13" t="n">
        <v>0.3168</v>
      </c>
    </row>
    <row r="14">
      <c r="A14">
        <f>HYPERLINK("https://www.linkedin.com/jobs/view/principal-supply-chain-manager-supply-chain-innovation-at-amazon-4133939119?position=9&amp;pageNum=0&amp;refId=GrUzpACpUrWq3zWaZPnMrw%3D%3D&amp;trackingId=wvyqpeO%2FLKJivN%2BCVSXM2g%3D%3D", "Principal Supply Chain Manager, Supply Chain Innovation")</f>
        <v/>
      </c>
      <c r="B14" t="inlineStr">
        <is>
          <t>Amazon</t>
        </is>
      </c>
      <c r="C14" t="inlineStr">
        <is>
          <t>Austin, TX</t>
        </is>
      </c>
      <c r="D14" t="inlineStr">
        <is>
          <t>N/A</t>
        </is>
      </c>
      <c r="E14" t="inlineStr">
        <is>
          <t>No</t>
        </is>
      </c>
      <c r="F14" t="n">
        <v>0.3168</v>
      </c>
    </row>
    <row r="15">
      <c r="A15">
        <f>HYPERLINK("https://www.linkedin.com/jobs/view/senior-ux-designer-customer-service-at-amazon-4140183784?position=10&amp;pageNum=0&amp;refId=GrUzpACpUrWq3zWaZPnMrw%3D%3D&amp;trackingId=ibSl3HO0I3kiCaCDWVzFsw%3D%3D", "Senior UX Designer, Customer Service")</f>
        <v/>
      </c>
      <c r="B15" t="inlineStr">
        <is>
          <t>Amazon</t>
        </is>
      </c>
      <c r="C15" t="inlineStr">
        <is>
          <t>Austin, TX</t>
        </is>
      </c>
      <c r="D15" t="inlineStr">
        <is>
          <t>N/A</t>
        </is>
      </c>
      <c r="E15" t="inlineStr">
        <is>
          <t>No</t>
        </is>
      </c>
      <c r="F15" t="n">
        <v>0.3168</v>
      </c>
    </row>
    <row r="16">
      <c r="A16">
        <f>HYPERLINK("https://www.linkedin.com/jobs/view/north-america-regional-portfolio-manager-gfm-early-life-cycle-management-and-building-experience-management-at-amazon-4091645968?position=11&amp;pageNum=0&amp;refId=GrUzpACpUrWq3zWaZPnMrw%3D%3D&amp;trackingId=j8cnmNvL2UehYTWurOprfA%3D%3D", "North America Regional Portfolio Manager GFM , Early Life-Cycle Management and Building Experience Management")</f>
        <v/>
      </c>
      <c r="B16" t="inlineStr">
        <is>
          <t>Amazon</t>
        </is>
      </c>
      <c r="C16" t="inlineStr">
        <is>
          <t>Houston, TX</t>
        </is>
      </c>
      <c r="D16" t="inlineStr">
        <is>
          <t>N/A</t>
        </is>
      </c>
      <c r="E16" t="inlineStr">
        <is>
          <t>No</t>
        </is>
      </c>
      <c r="F16" t="n">
        <v>0.3168</v>
      </c>
    </row>
    <row r="17">
      <c r="A17">
        <f>HYPERLINK("https://www.linkedin.com/jobs/view/north-america-regional-portfolio-manager-gfm-early-life-cycle-management-and-building-experience-management-at-amazon-4120913377?position=12&amp;pageNum=0&amp;refId=GrUzpACpUrWq3zWaZPnMrw%3D%3D&amp;trackingId=GuUXLdDHGKM2B6c6xSWNRQ%3D%3D", "North America Regional Portfolio Manager GFM , Early Life-Cycle Management and Building Experience Management")</f>
        <v/>
      </c>
      <c r="B17" t="inlineStr">
        <is>
          <t>Amazon</t>
        </is>
      </c>
      <c r="C17" t="inlineStr">
        <is>
          <t>Houston, TX</t>
        </is>
      </c>
      <c r="D17" t="inlineStr">
        <is>
          <t>N/A</t>
        </is>
      </c>
      <c r="E17" t="inlineStr">
        <is>
          <t>No</t>
        </is>
      </c>
      <c r="F17" t="n">
        <v>0.3168</v>
      </c>
    </row>
    <row r="18">
      <c r="A18">
        <f>HYPERLINK("https://www.linkedin.com/jobs/view/north-america-regional-portfolio-manager-gfm-early-life-cycle-management-and-building-experience-management-at-amazon-4091644968?position=13&amp;pageNum=0&amp;refId=GrUzpACpUrWq3zWaZPnMrw%3D%3D&amp;trackingId=yUstK253OiVKYuF%2FWc1O3Q%3D%3D", "North America Regional Portfolio Manager GFM , Early Life-Cycle Management and Building Experience Management")</f>
        <v/>
      </c>
      <c r="B18" t="inlineStr">
        <is>
          <t>Amazon</t>
        </is>
      </c>
      <c r="C18" t="inlineStr">
        <is>
          <t>Austin, TX</t>
        </is>
      </c>
      <c r="D18" t="inlineStr">
        <is>
          <t>N/A</t>
        </is>
      </c>
      <c r="E18" t="inlineStr">
        <is>
          <t>No</t>
        </is>
      </c>
      <c r="F18" t="n">
        <v>0.3168</v>
      </c>
    </row>
    <row r="19">
      <c r="A19">
        <f>HYPERLINK("https://www.linkedin.com/jobs/view/north-america-regional-portfolio-manager-gfm-early-life-cycle-management-and-building-experience-management-at-amazon-4120914265?position=14&amp;pageNum=0&amp;refId=GrUzpACpUrWq3zWaZPnMrw%3D%3D&amp;trackingId=jNgom%2F44%2BfWq4gN3tvuWZQ%3D%3D", "North America Regional Portfolio Manager GFM , Early Life-Cycle Management and Building Experience Management")</f>
        <v/>
      </c>
      <c r="B19" t="inlineStr">
        <is>
          <t>Amazon</t>
        </is>
      </c>
      <c r="C19" t="inlineStr">
        <is>
          <t>Austin, TX</t>
        </is>
      </c>
      <c r="D19" t="inlineStr">
        <is>
          <t>N/A</t>
        </is>
      </c>
      <c r="E19" t="inlineStr">
        <is>
          <t>No</t>
        </is>
      </c>
      <c r="F19" t="n">
        <v>0.3168</v>
      </c>
    </row>
    <row r="20">
      <c r="A20">
        <f>HYPERLINK("https://www.linkedin.com/jobs/view/prin-solutions-architect-ots-solutions-at-amazon-4138437107?position=15&amp;pageNum=0&amp;refId=GrUzpACpUrWq3zWaZPnMrw%3D%3D&amp;trackingId=6p6aM1gGLgWff8VaSqleDg%3D%3D", "Prin. Solutions Architect, OTS Solutions")</f>
        <v/>
      </c>
      <c r="B20" t="inlineStr">
        <is>
          <t>Amazon</t>
        </is>
      </c>
      <c r="C20" t="inlineStr">
        <is>
          <t>Austin, TX</t>
        </is>
      </c>
      <c r="D20" t="inlineStr">
        <is>
          <t>N/A</t>
        </is>
      </c>
      <c r="E20" t="inlineStr">
        <is>
          <t>No</t>
        </is>
      </c>
      <c r="F20" t="n">
        <v>0.3168</v>
      </c>
    </row>
    <row r="21">
      <c r="A21">
        <f>HYPERLINK("https://www.linkedin.com/jobs/view/sr-product-manager-tech-opstech-solutions-customer-growth-at-amazon-4127773627?position=16&amp;pageNum=0&amp;refId=GrUzpACpUrWq3zWaZPnMrw%3D%3D&amp;trackingId=lcU%2BOy9TLMMK4Zll13Traw%3D%3D", "Sr Product Manager Tech, OpsTech Solutions- Customer Growth")</f>
        <v/>
      </c>
      <c r="B21" t="inlineStr">
        <is>
          <t>Amazon</t>
        </is>
      </c>
      <c r="C21" t="inlineStr">
        <is>
          <t>Austin, TX</t>
        </is>
      </c>
      <c r="D21" t="inlineStr">
        <is>
          <t>N/A</t>
        </is>
      </c>
      <c r="E21" t="inlineStr">
        <is>
          <t>No</t>
        </is>
      </c>
      <c r="F21" t="n">
        <v>0.3168</v>
      </c>
    </row>
    <row r="22">
      <c r="A22">
        <f>HYPERLINK("https://www.linkedin.com/jobs/view/product-launch-customer-solution-manager-tech-amazon-robotics-at-amazon-4140188254?position=17&amp;pageNum=0&amp;refId=GrUzpACpUrWq3zWaZPnMrw%3D%3D&amp;trackingId=kSoqHH4jmWzSIxpAEo74Fw%3D%3D", "Product Launch - Customer Solution Manager - Tech, Amazon Robotics")</f>
        <v/>
      </c>
      <c r="B22" t="inlineStr">
        <is>
          <t>Amazon</t>
        </is>
      </c>
      <c r="C22" t="inlineStr">
        <is>
          <t>Austin, TX</t>
        </is>
      </c>
      <c r="D22" t="inlineStr">
        <is>
          <t>N/A</t>
        </is>
      </c>
      <c r="E22" t="inlineStr">
        <is>
          <t>No</t>
        </is>
      </c>
      <c r="F22" t="n">
        <v>0.3168</v>
      </c>
    </row>
    <row r="23">
      <c r="A23">
        <f>HYPERLINK("https://www.linkedin.com/jobs/view/sr-product-launch-customer-solution-manager-tech-amazon-robotics-at-amazon-4132248051?position=18&amp;pageNum=0&amp;refId=GrUzpACpUrWq3zWaZPnMrw%3D%3D&amp;trackingId=kvygB%2B4GsO2iaNV6mv7N0Q%3D%3D", "Sr. Product Launch - Customer Solution Manager - Tech, Amazon Robotics")</f>
        <v/>
      </c>
      <c r="B23" t="inlineStr">
        <is>
          <t>Amazon</t>
        </is>
      </c>
      <c r="C23" t="inlineStr">
        <is>
          <t>Austin, TX</t>
        </is>
      </c>
      <c r="D23" t="inlineStr">
        <is>
          <t>N/A</t>
        </is>
      </c>
      <c r="E23" t="inlineStr">
        <is>
          <t>No</t>
        </is>
      </c>
      <c r="F23" t="n">
        <v>0.3168</v>
      </c>
    </row>
    <row r="24">
      <c r="A24">
        <f>HYPERLINK("https://www.linkedin.com/jobs/view/product-manager-ii-technical-robotics-it-at-amazon-4138394337?position=19&amp;pageNum=0&amp;refId=GrUzpACpUrWq3zWaZPnMrw%3D%3D&amp;trackingId=GdemAPXfHUAGm%2BO7gOnsRg%3D%3D", "Product Manager II - Technical, Robotics IT")</f>
        <v/>
      </c>
      <c r="B24" t="inlineStr">
        <is>
          <t>Amazon</t>
        </is>
      </c>
      <c r="C24" t="inlineStr">
        <is>
          <t>Austin, TX</t>
        </is>
      </c>
      <c r="D24" t="inlineStr">
        <is>
          <t>N/A</t>
        </is>
      </c>
      <c r="E24" t="inlineStr">
        <is>
          <t>No</t>
        </is>
      </c>
      <c r="F24" t="n">
        <v>0.3168</v>
      </c>
    </row>
    <row r="25">
      <c r="A25">
        <f>HYPERLINK("https://www.linkedin.com/jobs/view/sr-product-manager-tech-opstech-solutions-at-amazon-4143826636?position=20&amp;pageNum=0&amp;refId=GrUzpACpUrWq3zWaZPnMrw%3D%3D&amp;trackingId=DuyIDgTGumchuOs4c0Es1g%3D%3D", "Sr Product Manager Tech, OpsTech Solutions")</f>
        <v/>
      </c>
      <c r="B25" t="inlineStr">
        <is>
          <t>Amazon</t>
        </is>
      </c>
      <c r="C25" t="inlineStr">
        <is>
          <t>Austin, TX</t>
        </is>
      </c>
      <c r="D25" t="inlineStr">
        <is>
          <t>N/A</t>
        </is>
      </c>
      <c r="E25" t="inlineStr">
        <is>
          <t>No</t>
        </is>
      </c>
      <c r="F25" t="n">
        <v>0.3168</v>
      </c>
    </row>
    <row r="26">
      <c r="A26">
        <f>HYPERLINK("https://www.linkedin.com/jobs/view/sr-product-manager-technical-device-technologies-product-manager-opstech-it-at-amazon-4075193315?position=21&amp;pageNum=0&amp;refId=GrUzpACpUrWq3zWaZPnMrw%3D%3D&amp;trackingId=iEs8awAjtEpwEUN7k80xVg%3D%3D", "Sr Product Manager - Technical, Device Technologies, Product Manager, OpsTech IT")</f>
        <v/>
      </c>
      <c r="B26" t="inlineStr">
        <is>
          <t>Amazon</t>
        </is>
      </c>
      <c r="C26" t="inlineStr">
        <is>
          <t>Austin, TX</t>
        </is>
      </c>
      <c r="D26" t="inlineStr">
        <is>
          <t>N/A</t>
        </is>
      </c>
      <c r="E26" t="inlineStr">
        <is>
          <t>No</t>
        </is>
      </c>
      <c r="F26" t="n">
        <v>0.3168</v>
      </c>
    </row>
    <row r="27">
      <c r="A27">
        <f>HYPERLINK("https://www.linkedin.com/jobs/view/principal-product-manager-tech-opstech-solutions-at-amazon-4143826480?position=22&amp;pageNum=0&amp;refId=GrUzpACpUrWq3zWaZPnMrw%3D%3D&amp;trackingId=8PGu5Wh8VO1xsdlBk3GaIQ%3D%3D", "Principal Product Manager Tech, OpsTech Solutions")</f>
        <v/>
      </c>
      <c r="B27" t="inlineStr">
        <is>
          <t>Amazon</t>
        </is>
      </c>
      <c r="C27" t="inlineStr">
        <is>
          <t>Austin, TX</t>
        </is>
      </c>
      <c r="D27" t="inlineStr">
        <is>
          <t>N/A</t>
        </is>
      </c>
      <c r="E27" t="inlineStr">
        <is>
          <t>No</t>
        </is>
      </c>
      <c r="F27" t="n">
        <v>0.3168</v>
      </c>
    </row>
    <row r="28">
      <c r="A28">
        <f>HYPERLINK("https://www.linkedin.com/jobs/view/principal-product-mgmt-tech-customer-service-technology-at-amazon-4100433747?position=23&amp;pageNum=0&amp;refId=GrUzpACpUrWq3zWaZPnMrw%3D%3D&amp;trackingId=GU6xtphA7%2FPGI3jdkZ31nA%3D%3D", "Principal Product Mgmt-Tech, Customer Service Technology")</f>
        <v/>
      </c>
      <c r="B28" t="inlineStr">
        <is>
          <t>Amazon</t>
        </is>
      </c>
      <c r="C28" t="inlineStr">
        <is>
          <t>Austin, TX</t>
        </is>
      </c>
      <c r="D28" t="inlineStr">
        <is>
          <t>N/A</t>
        </is>
      </c>
      <c r="E28" t="inlineStr">
        <is>
          <t>No</t>
        </is>
      </c>
      <c r="F28" t="n">
        <v>0.3168</v>
      </c>
    </row>
    <row r="29">
      <c r="A29">
        <f>HYPERLINK("https://www.linkedin.com/jobs/view/principal-product-mgmt-tech-cs-ai-customer-service-tech-at-amazon-3948287043?position=24&amp;pageNum=0&amp;refId=GrUzpACpUrWq3zWaZPnMrw%3D%3D&amp;trackingId=Vpo5LyAkspxia1UBS44hkg%3D%3D", "Principal Product Mgmt-Tech, CS-AI , Customer Service Tech")</f>
        <v/>
      </c>
      <c r="B29" t="inlineStr">
        <is>
          <t>Amazon</t>
        </is>
      </c>
      <c r="C29" t="inlineStr">
        <is>
          <t>Austin, TX</t>
        </is>
      </c>
      <c r="D29" t="inlineStr">
        <is>
          <t>N/A</t>
        </is>
      </c>
      <c r="E29" t="inlineStr">
        <is>
          <t>No</t>
        </is>
      </c>
      <c r="F29" t="n">
        <v>0.3168</v>
      </c>
    </row>
    <row r="30">
      <c r="A30">
        <f>HYPERLINK("https://www.linkedin.com/jobs/view/technical-program-manager-ges-operations-engineering-at-amazon-4143827646?position=25&amp;pageNum=0&amp;refId=GrUzpACpUrWq3zWaZPnMrw%3D%3D&amp;trackingId=gUbuvPXJNGUhPoUDokHHZg%3D%3D", "Technical Program Manager, GES Operations Engineering")</f>
        <v/>
      </c>
      <c r="B30" t="inlineStr">
        <is>
          <t>Amazon</t>
        </is>
      </c>
      <c r="C30" t="inlineStr">
        <is>
          <t>Austin, TX</t>
        </is>
      </c>
      <c r="D30" t="inlineStr">
        <is>
          <t>N/A</t>
        </is>
      </c>
      <c r="E30" t="inlineStr">
        <is>
          <t>No</t>
        </is>
      </c>
      <c r="F30" t="n">
        <v>0.3168</v>
      </c>
    </row>
    <row r="31">
      <c r="A31">
        <f>HYPERLINK("https://www.linkedin.com/jobs/view/sr-program-manager-worldwide-andon-cord-at-amazon-4003194970?position=26&amp;pageNum=0&amp;refId=GrUzpACpUrWq3zWaZPnMrw%3D%3D&amp;trackingId=TMF15HIMvY8QYzoY2ewAbA%3D%3D", "Sr. Program Manager, Worldwide Andon Cord")</f>
        <v/>
      </c>
      <c r="B31" t="inlineStr">
        <is>
          <t>Amazon</t>
        </is>
      </c>
      <c r="C31" t="inlineStr">
        <is>
          <t>Austin, TX</t>
        </is>
      </c>
      <c r="D31" t="inlineStr">
        <is>
          <t>N/A</t>
        </is>
      </c>
      <c r="E31" t="inlineStr">
        <is>
          <t>No</t>
        </is>
      </c>
      <c r="F31" t="n">
        <v>0.3168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2025-02-05T23:06:26Z</dcterms:created>
  <dcterms:modified xmlns:dcterms="http://purl.org/dc/terms/" xmlns:xsi="http://www.w3.org/2001/XMLSchema-instance" xsi:type="dcterms:W3CDTF">2025-02-05T23:06:26Z</dcterms:modified>
</cp:coreProperties>
</file>