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Data" sheetId="1" state="visible" r:id="rId1"/>
  </sheets>
  <definedNames>
    <definedName name="_xlnm._FilterDatabase" localSheetId="0" hidden="1">'Job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H1b Approval 2024</t>
        </is>
      </c>
      <c r="E1" t="inlineStr">
        <is>
          <t>H1b Sponsor</t>
        </is>
      </c>
      <c r="F1" t="inlineStr">
        <is>
          <t>Score</t>
        </is>
      </c>
    </row>
    <row r="2">
      <c r="A2">
        <f>HYPERLINK("https://www.linkedin.com/jobs/view/buyer-i-amazon-robotics-supply-chain-at-amazon-4098822723?position=5&amp;pageNum=0&amp;refId=MAOb9MWZnCyE1yaz3CrY6g%3D%3D&amp;trackingId=zr8X3vhScWAIoCBuzj4YrQ%3D%3D", "Buyer I, Amazon Robotics Supply Chain")</f>
        <v/>
      </c>
      <c r="B2" t="inlineStr">
        <is>
          <t>Amazon</t>
        </is>
      </c>
      <c r="C2" t="inlineStr">
        <is>
          <t>Austin, TX</t>
        </is>
      </c>
      <c r="D2" t="inlineStr">
        <is>
          <t>N/A</t>
        </is>
      </c>
      <c r="E2" t="inlineStr">
        <is>
          <t>No</t>
        </is>
      </c>
      <c r="F2" t="n">
        <v>0.5</v>
      </c>
    </row>
    <row r="3">
      <c r="A3">
        <f>HYPERLINK("https://www.linkedin.com/jobs/view/sr-global-inventory-and-asset-manager-ops-tech-solutions-supply-chain-ots-sc-at-amazon-4131360841?position=9&amp;pageNum=0&amp;refId=MAOb9MWZnCyE1yaz3CrY6g%3D%3D&amp;trackingId=MrPKIXC2GjPwn%2Bnp0b%2Fq1w%3D%3D", "Sr Global Inventory and Asset Manager, Ops Tech Solutions Supply Chain (OTS-SC)")</f>
        <v/>
      </c>
      <c r="B3" t="inlineStr">
        <is>
          <t>Amazon</t>
        </is>
      </c>
      <c r="C3" t="inlineStr">
        <is>
          <t>Austin, TX</t>
        </is>
      </c>
      <c r="D3" t="inlineStr">
        <is>
          <t>N/A</t>
        </is>
      </c>
      <c r="E3" t="inlineStr">
        <is>
          <t>No</t>
        </is>
      </c>
      <c r="F3" t="n">
        <v>0.5</v>
      </c>
    </row>
    <row r="4">
      <c r="A4">
        <f>HYPERLINK("https://www.linkedin.com/jobs/view/senior-procurement-and-strategy-manager-global-supply-chain-and-transportation-procurement-gsctp-at-amazon-4119707439?position=11&amp;pageNum=0&amp;refId=MAOb9MWZnCyE1yaz3CrY6g%3D%3D&amp;trackingId=MlIpLSJ6JTZBZWnFvdT3rg%3D%3D", "Senior Procurement and Strategy Manager, Global Supply Chain and Transportation Procurement (GSCTP)")</f>
        <v/>
      </c>
      <c r="B4" t="inlineStr">
        <is>
          <t>Amazon</t>
        </is>
      </c>
      <c r="C4" t="inlineStr">
        <is>
          <t>Austin, TX</t>
        </is>
      </c>
      <c r="D4" t="inlineStr">
        <is>
          <t>N/A</t>
        </is>
      </c>
      <c r="E4" t="inlineStr">
        <is>
          <t>No</t>
        </is>
      </c>
      <c r="F4" t="n">
        <v>0.5</v>
      </c>
    </row>
    <row r="5">
      <c r="A5">
        <f>HYPERLINK("https://www.linkedin.com/jobs/view/sr-global-inventory-and-asset-manager-ops-tech-solutions-supply-chain-ots-sc-at-amazon-4131360819?position=15&amp;pageNum=0&amp;refId=MAOb9MWZnCyE1yaz3CrY6g%3D%3D&amp;trackingId=dPTYKZq%2BrPm%2B141nm0K0Ag%3D%3D", "Sr Global Inventory and Asset Manager, Ops Tech Solutions Supply Chain (OTS-SC)")</f>
        <v/>
      </c>
      <c r="B5" t="inlineStr">
        <is>
          <t>Amazon</t>
        </is>
      </c>
      <c r="C5" t="inlineStr">
        <is>
          <t>Austin, TX</t>
        </is>
      </c>
      <c r="D5" t="inlineStr">
        <is>
          <t>N/A</t>
        </is>
      </c>
      <c r="E5" t="inlineStr">
        <is>
          <t>No</t>
        </is>
      </c>
      <c r="F5" t="n">
        <v>0.5</v>
      </c>
    </row>
    <row r="6">
      <c r="A6">
        <f>HYPERLINK("https://www.linkedin.com/jobs/view/business-analyst-payments-business-operations-pike-at-amazon-4137883339?position=1&amp;pageNum=0&amp;refId=i57reW4I25Qv2GsZ3mBvSw%3D%3D&amp;trackingId=zFoPSkI3KPLseg4qDjuVrg%3D%3D", "Business Analyst, Payments Business Operations, PIKE")</f>
        <v/>
      </c>
      <c r="B6" t="inlineStr">
        <is>
          <t>Amazon</t>
        </is>
      </c>
      <c r="C6" t="inlineStr">
        <is>
          <t>Austin, TX</t>
        </is>
      </c>
      <c r="D6" t="inlineStr">
        <is>
          <t>N/A</t>
        </is>
      </c>
      <c r="E6" t="inlineStr">
        <is>
          <t>No</t>
        </is>
      </c>
      <c r="F6" t="n">
        <v>0.5</v>
      </c>
    </row>
    <row r="7">
      <c r="A7">
        <f>HYPERLINK("https://www.linkedin.com/jobs/view/supply-chain-manager-ii-amazon-business-operations-at-amazon-4143030483?position=1&amp;pageNum=0&amp;refId=ANJbVkIXxmdMFSgpk4lzlg%3D%3D&amp;trackingId=z1LGCq1XNe3Eg8N96WX4TA%3D%3D", "Supply Chain Manager II, Amazon Business - Operations")</f>
        <v/>
      </c>
      <c r="B7" t="inlineStr">
        <is>
          <t>Amazon</t>
        </is>
      </c>
      <c r="C7" t="inlineStr">
        <is>
          <t>Austin, TX</t>
        </is>
      </c>
      <c r="D7" t="inlineStr">
        <is>
          <t>N/A</t>
        </is>
      </c>
      <c r="E7" t="inlineStr">
        <is>
          <t>No</t>
        </is>
      </c>
      <c r="F7" t="n">
        <v>0.5</v>
      </c>
    </row>
    <row r="8">
      <c r="A8">
        <f>HYPERLINK("https://www.linkedin.com/jobs/view/buyer-i-amazon-robotics-supply-chain-at-amazon-4098822723?position=2&amp;pageNum=0&amp;refId=ANJbVkIXxmdMFSgpk4lzlg%3D%3D&amp;trackingId=0%2FyDaTnBOtZY4f6ogv7LRw%3D%3D", "Buyer I, Amazon Robotics Supply Chain")</f>
        <v/>
      </c>
      <c r="B8" t="inlineStr">
        <is>
          <t>Amazon</t>
        </is>
      </c>
      <c r="C8" t="inlineStr">
        <is>
          <t>Austin, TX</t>
        </is>
      </c>
      <c r="D8" t="inlineStr">
        <is>
          <t>N/A</t>
        </is>
      </c>
      <c r="E8" t="inlineStr">
        <is>
          <t>No</t>
        </is>
      </c>
      <c r="F8" t="n">
        <v>0.5</v>
      </c>
    </row>
    <row r="9">
      <c r="A9">
        <f>HYPERLINK("https://www.linkedin.com/jobs/view/principal-supply-chain-manager-supply-chain-innovation-at-amazon-4133939119?position=3&amp;pageNum=0&amp;refId=ANJbVkIXxmdMFSgpk4lzlg%3D%3D&amp;trackingId=XqmudL4tIkYvAEircHp8BA%3D%3D", "Principal Supply Chain Manager, Supply Chain Innovation")</f>
        <v/>
      </c>
      <c r="B9" t="inlineStr">
        <is>
          <t>Amazon</t>
        </is>
      </c>
      <c r="C9" t="inlineStr">
        <is>
          <t>Austin, TX</t>
        </is>
      </c>
      <c r="D9" t="inlineStr">
        <is>
          <t>N/A</t>
        </is>
      </c>
      <c r="E9" t="inlineStr">
        <is>
          <t>No</t>
        </is>
      </c>
      <c r="F9" t="n">
        <v>0.5</v>
      </c>
    </row>
    <row r="10">
      <c r="A10">
        <f>HYPERLINK("https://www.linkedin.com/jobs/view/supply-chain-manager-i-north-america-transportation-execution-at-amazon-4128024070?position=1&amp;pageNum=0&amp;refId=Zd9XQICzdnDHQQSYe2GpgQ%3D%3D&amp;trackingId=ASre75PknPXirxRlTHo3%2Bw%3D%3D", "Supply Chain Manager I, North America Transportation Execution")</f>
        <v/>
      </c>
      <c r="B10" t="inlineStr">
        <is>
          <t>Amazon</t>
        </is>
      </c>
      <c r="C10" t="inlineStr">
        <is>
          <t>Dallas, TX</t>
        </is>
      </c>
      <c r="D10" t="inlineStr">
        <is>
          <t>N/A</t>
        </is>
      </c>
      <c r="E10" t="inlineStr">
        <is>
          <t>No</t>
        </is>
      </c>
      <c r="F10" t="n">
        <v>0.5</v>
      </c>
    </row>
    <row r="11">
      <c r="A11">
        <f>HYPERLINK("https://www.linkedin.com/jobs/view/supply-chain-manager-i-north-america-transportation-execution-at-amazon-4128018645?position=2&amp;pageNum=0&amp;refId=Zd9XQICzdnDHQQSYe2GpgQ%3D%3D&amp;trackingId=3Kc76WJ7jHQtpD9j3vNtyQ%3D%3D", "Supply Chain Manager I, North America Transportation Execution")</f>
        <v/>
      </c>
      <c r="B11" t="inlineStr">
        <is>
          <t>Amazon</t>
        </is>
      </c>
      <c r="C11" t="inlineStr">
        <is>
          <t>Dallas, TX</t>
        </is>
      </c>
      <c r="D11" t="inlineStr">
        <is>
          <t>N/A</t>
        </is>
      </c>
      <c r="E11" t="inlineStr">
        <is>
          <t>No</t>
        </is>
      </c>
      <c r="F11" t="n">
        <v>0.5</v>
      </c>
    </row>
    <row r="12">
      <c r="A12">
        <f>HYPERLINK("https://www.linkedin.com/jobs/view/supply-chain-manager-ii-north-america-transportation-execution-at-amazon-4131367122?position=3&amp;pageNum=0&amp;refId=Zd9XQICzdnDHQQSYe2GpgQ%3D%3D&amp;trackingId=XLCVkf2CPGCFC1rBY7CitA%3D%3D", "Supply Chain Manager II, North America Transportation Execution")</f>
        <v/>
      </c>
      <c r="B12" t="inlineStr">
        <is>
          <t>Amazon</t>
        </is>
      </c>
      <c r="C12" t="inlineStr">
        <is>
          <t>Dallas, TX</t>
        </is>
      </c>
      <c r="D12" t="inlineStr">
        <is>
          <t>N/A</t>
        </is>
      </c>
      <c r="E12" t="inlineStr">
        <is>
          <t>No</t>
        </is>
      </c>
      <c r="F12" t="n">
        <v>0.5</v>
      </c>
    </row>
    <row r="13">
      <c r="A13">
        <f>HYPERLINK("https://www.linkedin.com/jobs/view/supply-chain-manager-ii-north-america-transportation-execution-at-amazon-4113262728?position=4&amp;pageNum=0&amp;refId=Zd9XQICzdnDHQQSYe2GpgQ%3D%3D&amp;trackingId=3yQey5btffnaYVNrYfTlWg%3D%3D", "Supply Chain Manager II, North America Transportation Execution")</f>
        <v/>
      </c>
      <c r="B13" t="inlineStr">
        <is>
          <t>Amazon</t>
        </is>
      </c>
      <c r="C13" t="inlineStr">
        <is>
          <t>Dallas, TX</t>
        </is>
      </c>
      <c r="D13" t="inlineStr">
        <is>
          <t>N/A</t>
        </is>
      </c>
      <c r="E13" t="inlineStr">
        <is>
          <t>No</t>
        </is>
      </c>
      <c r="F13" t="n">
        <v>0.5</v>
      </c>
    </row>
    <row r="14">
      <c r="A14">
        <f>HYPERLINK("https://www.linkedin.com/jobs/view/business-analyst-2-at-gb-tech-4065961649?position=1&amp;pageNum=0&amp;refId=Yuio7YYUjSqdA86mRFHN%2FA%3D%3D&amp;trackingId=S7ubMoW5A9E5CGMq%2BgEKWg%3D%3D", "Business Analyst 2")</f>
        <v/>
      </c>
      <c r="B14" t="inlineStr">
        <is>
          <t>GB Tech</t>
        </is>
      </c>
      <c r="C14" t="inlineStr">
        <is>
          <t>Austin, TX</t>
        </is>
      </c>
      <c r="D14" t="inlineStr">
        <is>
          <t>N/A</t>
        </is>
      </c>
      <c r="E14" t="inlineStr">
        <is>
          <t>No</t>
        </is>
      </c>
      <c r="F14" t="n">
        <v>0.335</v>
      </c>
    </row>
    <row r="15">
      <c r="A15">
        <f>HYPERLINK("https://www.linkedin.com/jobs/view/business-analyst-contract-at-capitol-services-4131494646?position=2&amp;pageNum=0&amp;refId=Yuio7YYUjSqdA86mRFHN%2FA%3D%3D&amp;trackingId=Ujh6GyEktb1QrBoJSqSHnw%3D%3D", "Business Analyst (contract)")</f>
        <v/>
      </c>
      <c r="B15" t="inlineStr">
        <is>
          <t>Capitol Services</t>
        </is>
      </c>
      <c r="C15" t="inlineStr">
        <is>
          <t>Austin, TX</t>
        </is>
      </c>
      <c r="D15" t="inlineStr">
        <is>
          <t>N/A</t>
        </is>
      </c>
      <c r="E15" t="inlineStr">
        <is>
          <t>No</t>
        </is>
      </c>
      <c r="F15" t="n">
        <v>0.335</v>
      </c>
    </row>
    <row r="16">
      <c r="A16">
        <f>HYPERLINK("https://www.linkedin.com/jobs/view/business-analyst-at-cgs-federal-contact-government-services-4115775595?position=2&amp;pageNum=0&amp;refId=uVRhhrhZcicJ2sKC4j5cDw%3D%3D&amp;trackingId=JCbj%2FTcJTyNlcaCYT6ucsQ%3D%3D", "Business Analyst")</f>
        <v/>
      </c>
      <c r="B16" t="inlineStr">
        <is>
          <t>CGS Federal (Contact Government Services)</t>
        </is>
      </c>
      <c r="C16" t="inlineStr">
        <is>
          <t>Dallas, TX</t>
        </is>
      </c>
      <c r="D16" t="inlineStr">
        <is>
          <t>N/A</t>
        </is>
      </c>
      <c r="E16" t="inlineStr">
        <is>
          <t>No</t>
        </is>
      </c>
      <c r="F16" t="n">
        <v>0.335</v>
      </c>
    </row>
    <row r="17">
      <c r="A17">
        <f>HYPERLINK("https://www.linkedin.com/jobs/view/business-analyst-at-calpion-inc-4039352087?position=3&amp;pageNum=0&amp;refId=uVRhhrhZcicJ2sKC4j5cDw%3D%3D&amp;trackingId=1oL50OjhLmciU1kTmkGqqg%3D%3D", "Business Analyst")</f>
        <v/>
      </c>
      <c r="B17" t="inlineStr">
        <is>
          <t>Calpion Inc.</t>
        </is>
      </c>
      <c r="C17" t="inlineStr">
        <is>
          <t>Dallas, TX</t>
        </is>
      </c>
      <c r="D17" t="inlineStr">
        <is>
          <t>N/A</t>
        </is>
      </c>
      <c r="E17" t="inlineStr">
        <is>
          <t>No</t>
        </is>
      </c>
      <c r="F17" t="n">
        <v>0.335</v>
      </c>
    </row>
    <row r="18">
      <c r="A18">
        <f>HYPERLINK("https://www.linkedin.com/jobs/view/culinary-supply-chain-mba-internship-summer-2025-at-whole-foods-market-4133127537?position=13&amp;pageNum=0&amp;refId=MAOb9MWZnCyE1yaz3CrY6g%3D%3D&amp;trackingId=H9Gr%2B4skomJ%2BqO1G01JEWw%3D%3D", "Culinary Supply Chain MBA Internship - Summer 2025")</f>
        <v/>
      </c>
      <c r="B18" t="inlineStr">
        <is>
          <t>Whole Foods Market</t>
        </is>
      </c>
      <c r="C18" t="inlineStr">
        <is>
          <t>Austin, TX</t>
        </is>
      </c>
      <c r="D18" t="inlineStr">
        <is>
          <t>N/A</t>
        </is>
      </c>
      <c r="E18" t="inlineStr">
        <is>
          <t>No</t>
        </is>
      </c>
      <c r="F18" t="n">
        <v>0.335</v>
      </c>
    </row>
    <row r="19">
      <c r="A19">
        <f>HYPERLINK("https://www.linkedin.com/jobs/view/summer-intern-supply-chain-operations-mk-at-cirrus-logic-4068390745?position=20&amp;pageNum=0&amp;refId=MAOb9MWZnCyE1yaz3CrY6g%3D%3D&amp;trackingId=TxLAV3fOdzuFlDK%2FPuFf6w%3D%3D", "Summer Intern, Supply Chain Operations (MK)")</f>
        <v/>
      </c>
      <c r="B19" t="inlineStr">
        <is>
          <t>Cirrus Logic</t>
        </is>
      </c>
      <c r="C19" t="inlineStr">
        <is>
          <t>Austin, TX</t>
        </is>
      </c>
      <c r="D19" t="inlineStr">
        <is>
          <t>N/A</t>
        </is>
      </c>
      <c r="E19" t="inlineStr">
        <is>
          <t>No</t>
        </is>
      </c>
      <c r="F19" t="n">
        <v>0.335</v>
      </c>
    </row>
    <row r="20">
      <c r="A20">
        <f>HYPERLINK("https://www.linkedin.com/jobs/view/rme-planner-asset-science-and-technology-ast-at-amazon-4131360813?position=31&amp;pageNum=0&amp;refId=MAOb9MWZnCyE1yaz3CrY6g%3D%3D&amp;trackingId=1if8bu%2BjP30KPZkhYPClug%3D%3D", "RME Planner, Asset Science and Technology (AST)")</f>
        <v/>
      </c>
      <c r="B20" t="inlineStr">
        <is>
          <t>Amazon</t>
        </is>
      </c>
      <c r="C20" t="inlineStr">
        <is>
          <t>Austin, TX</t>
        </is>
      </c>
      <c r="D20" t="inlineStr">
        <is>
          <t>N/A</t>
        </is>
      </c>
      <c r="E20" t="inlineStr">
        <is>
          <t>No</t>
        </is>
      </c>
      <c r="F20" t="n">
        <v>0.335</v>
      </c>
    </row>
    <row r="21">
      <c r="A21">
        <f>HYPERLINK("https://www.linkedin.com/jobs/view/rme-planner-asset-science-and-technology-ast-at-amazon-4131362681?position=32&amp;pageNum=0&amp;refId=MAOb9MWZnCyE1yaz3CrY6g%3D%3D&amp;trackingId=FOfNGKRB2JFV5O2bCc%2FmQw%3D%3D", "RME Planner, Asset Science and Technology (AST)")</f>
        <v/>
      </c>
      <c r="B21" t="inlineStr">
        <is>
          <t>Amazon</t>
        </is>
      </c>
      <c r="C21" t="inlineStr">
        <is>
          <t>Austin, TX</t>
        </is>
      </c>
      <c r="D21" t="inlineStr">
        <is>
          <t>N/A</t>
        </is>
      </c>
      <c r="E21" t="inlineStr">
        <is>
          <t>No</t>
        </is>
      </c>
      <c r="F21" t="n">
        <v>0.335</v>
      </c>
    </row>
    <row r="22">
      <c r="A22">
        <f>HYPERLINK("https://www.linkedin.com/jobs/view/rme-planner-asset-science-and-technology-ast-at-amazon-4131366341?position=33&amp;pageNum=0&amp;refId=MAOb9MWZnCyE1yaz3CrY6g%3D%3D&amp;trackingId=aUNExuJRdHHSKgknz7ih1g%3D%3D", "RME Planner, Asset Science and Technology (AST)")</f>
        <v/>
      </c>
      <c r="B22" t="inlineStr">
        <is>
          <t>Amazon</t>
        </is>
      </c>
      <c r="C22" t="inlineStr">
        <is>
          <t>Austin, TX</t>
        </is>
      </c>
      <c r="D22" t="inlineStr">
        <is>
          <t>N/A</t>
        </is>
      </c>
      <c r="E22" t="inlineStr">
        <is>
          <t>No</t>
        </is>
      </c>
      <c r="F22" t="n">
        <v>0.335</v>
      </c>
    </row>
    <row r="23">
      <c r="A23">
        <f>HYPERLINK("https://www.linkedin.com/jobs/view/rme-planner-asset-science-and-technology-ast-at-amazon-4131366330?position=34&amp;pageNum=0&amp;refId=MAOb9MWZnCyE1yaz3CrY6g%3D%3D&amp;trackingId=9CDK1K%2Fjz2BLMhQuILMYjw%3D%3D", "RME Planner, Asset Science and Technology (AST)")</f>
        <v/>
      </c>
      <c r="B23" t="inlineStr">
        <is>
          <t>Amazon</t>
        </is>
      </c>
      <c r="C23" t="inlineStr">
        <is>
          <t>Austin, TX</t>
        </is>
      </c>
      <c r="D23" t="inlineStr">
        <is>
          <t>N/A</t>
        </is>
      </c>
      <c r="E23" t="inlineStr">
        <is>
          <t>No</t>
        </is>
      </c>
      <c r="F23" t="n">
        <v>0.335</v>
      </c>
    </row>
    <row r="24">
      <c r="A24">
        <f>HYPERLINK("https://www.linkedin.com/jobs/view/business-analyst-at-calpion-inc-4039352087?position=12&amp;pageNum=0&amp;refId=24FAnahix0Q1J6uChllFBw%3D%3D&amp;trackingId=%2FruXPPF9sHbUzl20P3NLLQ%3D%3D", "Business Analyst")</f>
        <v/>
      </c>
      <c r="B24" t="inlineStr">
        <is>
          <t>Calpion Inc.</t>
        </is>
      </c>
      <c r="C24" t="inlineStr">
        <is>
          <t>Dallas, TX</t>
        </is>
      </c>
      <c r="D24" t="inlineStr">
        <is>
          <t>N/A</t>
        </is>
      </c>
      <c r="E24" t="inlineStr">
        <is>
          <t>No</t>
        </is>
      </c>
      <c r="F24" t="n">
        <v>0.335</v>
      </c>
    </row>
    <row r="25">
      <c r="A25">
        <f>HYPERLINK("https://www.linkedin.com/jobs/view/business-analyst-at-calpion-inc-4039352087?position=1&amp;pageNum=0&amp;refId=HWI8A9eNLCsRg%2FMX0pSOIg%3D%3D&amp;trackingId=YA%2FFMrfM2cuhZ3uUJ1ta1g%3D%3D", "Business Analyst")</f>
        <v/>
      </c>
      <c r="B25" t="inlineStr">
        <is>
          <t>Calpion Inc.</t>
        </is>
      </c>
      <c r="C25" t="inlineStr">
        <is>
          <t>Dallas, TX</t>
        </is>
      </c>
      <c r="D25" t="inlineStr">
        <is>
          <t>N/A</t>
        </is>
      </c>
      <c r="E25" t="inlineStr">
        <is>
          <t>No</t>
        </is>
      </c>
      <c r="F25" t="n">
        <v>0.335</v>
      </c>
    </row>
    <row r="26">
      <c r="A26">
        <f>HYPERLINK("https://www.linkedin.com/jobs/view/policy-program-specialist-global-security-policy-at-amazon-4138433887?position=5&amp;pageNum=0&amp;refId=Zd9XQICzdnDHQQSYe2GpgQ%3D%3D&amp;trackingId=IaFd7apSxJ4w1tVkcYgSWQ%3D%3D", "Policy Program Specialist, Global Security Policy")</f>
        <v/>
      </c>
      <c r="B26" t="inlineStr">
        <is>
          <t>Amazon</t>
        </is>
      </c>
      <c r="C26" t="inlineStr">
        <is>
          <t>Dallas, TX</t>
        </is>
      </c>
      <c r="D26" t="inlineStr">
        <is>
          <t>N/A</t>
        </is>
      </c>
      <c r="E26" t="inlineStr">
        <is>
          <t>No</t>
        </is>
      </c>
      <c r="F26" t="n">
        <v>0.335</v>
      </c>
    </row>
    <row r="27">
      <c r="A27">
        <f>HYPERLINK("https://www.linkedin.com/jobs/view/business-analyst-at-calpion-inc-4039352087?position=9&amp;pageNum=0&amp;refId=Zd9XQICzdnDHQQSYe2GpgQ%3D%3D&amp;trackingId=QD6SSxUGRQ3WSgBTBWBKyg%3D%3D", "Business Analyst")</f>
        <v/>
      </c>
      <c r="B27" t="inlineStr">
        <is>
          <t>Calpion Inc.</t>
        </is>
      </c>
      <c r="C27" t="inlineStr">
        <is>
          <t>Dallas, TX</t>
        </is>
      </c>
      <c r="D27" t="inlineStr">
        <is>
          <t>N/A</t>
        </is>
      </c>
      <c r="E27" t="inlineStr">
        <is>
          <t>No</t>
        </is>
      </c>
      <c r="F27" t="n">
        <v>0.335</v>
      </c>
    </row>
    <row r="28">
      <c r="A28">
        <f>HYPERLINK("https://www.linkedin.com/jobs/view/senior-analyst-sales-strategy-operations-at-doordash-4118863613?position=3&amp;pageNum=0&amp;refId=Yuio7YYUjSqdA86mRFHN%2FA%3D%3D&amp;trackingId=h84yv9YjDPbEa7Oq1FUfGA%3D%3D", "Senior Analyst, Sales Strategy &amp; Operations")</f>
        <v/>
      </c>
      <c r="B28" t="inlineStr">
        <is>
          <t>DoorDash</t>
        </is>
      </c>
      <c r="C28" t="inlineStr">
        <is>
          <t>Austin, TX</t>
        </is>
      </c>
      <c r="D28" t="inlineStr">
        <is>
          <t>N/A</t>
        </is>
      </c>
      <c r="E28" t="inlineStr">
        <is>
          <t>No</t>
        </is>
      </c>
      <c r="F28" t="n">
        <v>0.17</v>
      </c>
    </row>
    <row r="29">
      <c r="A29">
        <f>HYPERLINK("https://www.linkedin.com/jobs/view/procurement-operations-specialist-at-meta-4142050465?position=1&amp;pageNum=0&amp;refId=MAOb9MWZnCyE1yaz3CrY6g%3D%3D&amp;trackingId=IxtsZGmAnYvEE3IfZRO5dg%3D%3D", "Procurement Operations Specialist")</f>
        <v/>
      </c>
      <c r="B29" t="inlineStr">
        <is>
          <t>Meta</t>
        </is>
      </c>
      <c r="C29" t="inlineStr">
        <is>
          <t>Austin, TX</t>
        </is>
      </c>
      <c r="D29" t="inlineStr">
        <is>
          <t>N/A</t>
        </is>
      </c>
      <c r="E29" t="inlineStr">
        <is>
          <t>No</t>
        </is>
      </c>
      <c r="F29" t="n">
        <v>0.17</v>
      </c>
    </row>
    <row r="30">
      <c r="A30">
        <f>HYPERLINK("https://www.linkedin.com/jobs/view/strategic-sourcing-analyst-at-nutrabolt-4068061707?position=2&amp;pageNum=0&amp;refId=MAOb9MWZnCyE1yaz3CrY6g%3D%3D&amp;trackingId=%2B2Eq3753oES7gj8hb7GarQ%3D%3D", "Strategic Sourcing Analyst")</f>
        <v/>
      </c>
      <c r="B30" t="inlineStr">
        <is>
          <t>Nutrabolt</t>
        </is>
      </c>
      <c r="C30" t="inlineStr">
        <is>
          <t>Austin, TX</t>
        </is>
      </c>
      <c r="D30" t="inlineStr">
        <is>
          <t>N/A</t>
        </is>
      </c>
      <c r="E30" t="inlineStr">
        <is>
          <t>No</t>
        </is>
      </c>
      <c r="F30" t="n">
        <v>0.17</v>
      </c>
    </row>
    <row r="31">
      <c r="A31">
        <f>HYPERLINK("https://www.linkedin.com/jobs/view/demand-planner-megapack-at-tesla-4137169702?position=3&amp;pageNum=0&amp;refId=MAOb9MWZnCyE1yaz3CrY6g%3D%3D&amp;trackingId=P8Z46I6yGZVTenLdnVYa7Q%3D%3D", "Demand Planner, Megapack")</f>
        <v/>
      </c>
      <c r="B31" t="inlineStr">
        <is>
          <t>Tesla</t>
        </is>
      </c>
      <c r="C31" t="inlineStr">
        <is>
          <t>Austin, TX</t>
        </is>
      </c>
      <c r="D31" t="inlineStr">
        <is>
          <t>N/A</t>
        </is>
      </c>
      <c r="E31" t="inlineStr">
        <is>
          <t>No</t>
        </is>
      </c>
      <c r="F31" t="n">
        <v>0.17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2025-02-05T23:13:41Z</dcterms:created>
  <dcterms:modified xmlns:dcterms="http://purl.org/dc/terms/" xmlns:xsi="http://www.w3.org/2001/XMLSchema-instance" xsi:type="dcterms:W3CDTF">2025-02-05T23:13:41Z</dcterms:modified>
</cp:coreProperties>
</file>